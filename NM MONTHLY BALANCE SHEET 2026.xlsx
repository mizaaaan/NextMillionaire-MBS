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14AF064BC8776689/Documents/"/>
    </mc:Choice>
  </mc:AlternateContent>
  <xr:revisionPtr revIDLastSave="0" documentId="8_{D97A8DBD-5736-4D86-A04C-CD9B59CF9F87}" xr6:coauthVersionLast="47" xr6:coauthVersionMax="47" xr10:uidLastSave="{00000000-0000-0000-0000-000000000000}"/>
  <bookViews>
    <workbookView xWindow="-120" yWindow="-120" windowWidth="29040" windowHeight="15720" firstSheet="8" activeTab="8" xr2:uid="{00000000-000D-0000-FFFF-FFFF00000000}"/>
  </bookViews>
  <sheets>
    <sheet name="নোট" sheetId="8" r:id="rId1"/>
    <sheet name="গাড়ির হিসাব" sheetId="11" r:id="rId2"/>
    <sheet name="TOTAL VEHICLE" sheetId="9" r:id="rId3"/>
    <sheet name="NM MEMBERS" sheetId="7" r:id="rId4"/>
    <sheet name="APRIL 2026" sheetId="5" r:id="rId5"/>
    <sheet name="MAY 2026" sheetId="6" r:id="rId6"/>
    <sheet name="JUNE 2026" sheetId="13" r:id="rId7"/>
    <sheet name="JULY 2026" sheetId="14" r:id="rId8"/>
    <sheet name="August 2026" sheetId="16" r:id="rId9"/>
    <sheet name="Sheet1" sheetId="15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4" l="1"/>
  <c r="G40" i="14"/>
  <c r="G17" i="16"/>
  <c r="D13" i="8"/>
  <c r="D11" i="8"/>
  <c r="C17" i="8"/>
  <c r="G24" i="6"/>
  <c r="D14" i="15"/>
  <c r="C33" i="15"/>
  <c r="D49" i="7"/>
  <c r="C21" i="15"/>
  <c r="G31" i="13" l="1"/>
  <c r="D33" i="5"/>
  <c r="E49" i="7"/>
  <c r="G31" i="5"/>
  <c r="G32" i="5" l="1"/>
  <c r="G33" i="5" l="1"/>
  <c r="D4" i="6"/>
  <c r="D26" i="6" s="1"/>
  <c r="G25" i="6" s="1"/>
  <c r="D4" i="13" s="1"/>
  <c r="D33" i="13" s="1"/>
  <c r="G26" i="6" l="1"/>
  <c r="G32" i="13"/>
  <c r="G33" i="13" l="1"/>
  <c r="D4" i="14"/>
  <c r="D42" i="14" l="1"/>
  <c r="D4" i="16" l="1"/>
  <c r="D19" i="16" s="1"/>
  <c r="G18" i="16" s="1"/>
  <c r="G19" i="16" s="1"/>
  <c r="G42" i="14" l="1"/>
</calcChain>
</file>

<file path=xl/sharedStrings.xml><?xml version="1.0" encoding="utf-8"?>
<sst xmlns="http://schemas.openxmlformats.org/spreadsheetml/2006/main" count="558" uniqueCount="348">
  <si>
    <t>Personal Note</t>
  </si>
  <si>
    <t>Date</t>
  </si>
  <si>
    <t>Description</t>
  </si>
  <si>
    <t>Amount</t>
  </si>
  <si>
    <t>Note</t>
  </si>
  <si>
    <t>19/6/2026</t>
  </si>
  <si>
    <t>Mamun vai to loan</t>
  </si>
  <si>
    <t>Salam vai to medical loan</t>
  </si>
  <si>
    <t>226 qr for Medicine &amp; Fawran</t>
  </si>
  <si>
    <t>Due</t>
  </si>
  <si>
    <t>Mamun Vai Sunny Oil Change</t>
  </si>
  <si>
    <t xml:space="preserve">Paid </t>
  </si>
  <si>
    <t>mamunvai car battery servicing</t>
  </si>
  <si>
    <t>16/7/2026</t>
  </si>
  <si>
    <t>Room rent Advance For Mamun+Salam</t>
  </si>
  <si>
    <t>Mmun vai cost for Room purpose</t>
  </si>
  <si>
    <t xml:space="preserve">Mmaun Vaiyer Due to Company </t>
  </si>
  <si>
    <t>Expenses for Clothes</t>
  </si>
  <si>
    <t>paid</t>
  </si>
  <si>
    <t>Paid</t>
  </si>
  <si>
    <t>আর বাকি- কোম্পানিকে দেনা</t>
  </si>
  <si>
    <t>Total</t>
  </si>
  <si>
    <t xml:space="preserve">গাড়ির হিসাব </t>
  </si>
  <si>
    <t xml:space="preserve">সিরিয়াল </t>
  </si>
  <si>
    <t>গাড়ির নাম</t>
  </si>
  <si>
    <t>মডেল</t>
  </si>
  <si>
    <t>গাড়ির নাম্বার</t>
  </si>
  <si>
    <t xml:space="preserve">মালিকের নাম </t>
  </si>
  <si>
    <t>ড্রাইবারের নাম</t>
  </si>
  <si>
    <t>ড্রাইবার ফোন নাম্বার</t>
  </si>
  <si>
    <t>গাড়ি ভাড়ার তারিখ</t>
  </si>
  <si>
    <t xml:space="preserve">ভাড়ার পরিমাণ </t>
  </si>
  <si>
    <t>মে-২০২৬ ভাড়া</t>
  </si>
  <si>
    <t>জুন-২০২৬ ভাড়া</t>
  </si>
  <si>
    <t xml:space="preserve">নোট </t>
  </si>
  <si>
    <t xml:space="preserve">টয়োটা রাশ </t>
  </si>
  <si>
    <t>250 598</t>
  </si>
  <si>
    <t xml:space="preserve">মোঃ জাহাঙ্গীর হোসাইন </t>
  </si>
  <si>
    <t xml:space="preserve">আব্দুস সালাম </t>
  </si>
  <si>
    <t xml:space="preserve">নিশান সানি </t>
  </si>
  <si>
    <t>391 266</t>
  </si>
  <si>
    <t xml:space="preserve">আপেল মাহমুদ </t>
  </si>
  <si>
    <t xml:space="preserve">মেহরাব </t>
  </si>
  <si>
    <t>১১০০+১০০</t>
  </si>
  <si>
    <t xml:space="preserve">হোন্ডা সিটি </t>
  </si>
  <si>
    <t>110 563</t>
  </si>
  <si>
    <t xml:space="preserve">আব্দুর রাকিব </t>
  </si>
  <si>
    <t xml:space="preserve">শহিদুল ইসলাম তুহিন </t>
  </si>
  <si>
    <t>১৫/৫/২০২৬</t>
  </si>
  <si>
    <t>১২০০+২০০+৭০০=২১০০</t>
  </si>
  <si>
    <t xml:space="preserve">২১০০ রিয়াল জুলাই ভাড়া সহ বাকি।   </t>
  </si>
  <si>
    <t xml:space="preserve">সুজুকি সেলেরিও </t>
  </si>
  <si>
    <t>468 350</t>
  </si>
  <si>
    <t xml:space="preserve">কিংসলে </t>
  </si>
  <si>
    <t>১৬/৫/২০২৬</t>
  </si>
  <si>
    <t>200 left next will pay</t>
  </si>
  <si>
    <t>কিয়া পিকান্তো</t>
  </si>
  <si>
    <t xml:space="preserve">আবুল বাসার </t>
  </si>
  <si>
    <t>বিলাল আমজাদ আলী</t>
  </si>
  <si>
    <t>7172 2474</t>
  </si>
  <si>
    <t>১৫/৬/২০২৬</t>
  </si>
  <si>
    <t>250 violation বাকি ১/৭/২৬</t>
  </si>
  <si>
    <t xml:space="preserve">চেংগেন আলসবিন </t>
  </si>
  <si>
    <t>রানা কাশিপ</t>
  </si>
  <si>
    <t>সুজুকি সেলেরিও ব্লু</t>
  </si>
  <si>
    <t xml:space="preserve">মুহাম্মদ উসমান আলী </t>
  </si>
  <si>
    <t>7709 5584</t>
  </si>
  <si>
    <t>১৯/৬/২০২৬</t>
  </si>
  <si>
    <t>335 violation সহ বাকি</t>
  </si>
  <si>
    <t>সুজুকি সুইফট</t>
  </si>
  <si>
    <t xml:space="preserve">আব্দুল আলিম আজহারী </t>
  </si>
  <si>
    <t xml:space="preserve">নিশান মিকরা </t>
  </si>
  <si>
    <t>নাজমুল হোসাইন সুজন</t>
  </si>
  <si>
    <t>আফতাব মিকরানী</t>
  </si>
  <si>
    <t xml:space="preserve">নেছার উদ্দিন আহমেদ </t>
  </si>
  <si>
    <t>কামাল মিশরা</t>
  </si>
  <si>
    <t xml:space="preserve">সর্বমোট </t>
  </si>
  <si>
    <t>NEXT MILLIONAIRE</t>
  </si>
  <si>
    <t>TOTAL VEHICLE LIST</t>
  </si>
  <si>
    <t xml:space="preserve">SL </t>
  </si>
  <si>
    <t>Owner Name</t>
  </si>
  <si>
    <t>Main Name</t>
  </si>
  <si>
    <t>Car Name</t>
  </si>
  <si>
    <t xml:space="preserve">Vehicle Number </t>
  </si>
  <si>
    <t xml:space="preserve">Model </t>
  </si>
  <si>
    <t>Istimara Date</t>
  </si>
  <si>
    <t xml:space="preserve">Md Jahangir Hossain </t>
  </si>
  <si>
    <t xml:space="preserve">Next Millionaire </t>
  </si>
  <si>
    <t xml:space="preserve">Toyota Rush </t>
  </si>
  <si>
    <t>30/8/2026</t>
  </si>
  <si>
    <t xml:space="preserve">Md Mamun </t>
  </si>
  <si>
    <t xml:space="preserve">Honda City </t>
  </si>
  <si>
    <t>219 379</t>
  </si>
  <si>
    <t>13/9/2026</t>
  </si>
  <si>
    <t>Nazmul Hossain</t>
  </si>
  <si>
    <t>Nissan Sunny</t>
  </si>
  <si>
    <t>769 462</t>
  </si>
  <si>
    <t>19/1/2027</t>
  </si>
  <si>
    <t xml:space="preserve">Apel Mahmud </t>
  </si>
  <si>
    <t>Abdur Rakib</t>
  </si>
  <si>
    <t>Suzuki Celerio</t>
  </si>
  <si>
    <t xml:space="preserve">Abul Bashar </t>
  </si>
  <si>
    <t>Kia Picanto</t>
  </si>
  <si>
    <t>25/4/2027</t>
  </si>
  <si>
    <t>Changan Alsvin</t>
  </si>
  <si>
    <t xml:space="preserve">TOTAL MEMBER LIST </t>
  </si>
  <si>
    <t>SL</t>
  </si>
  <si>
    <t xml:space="preserve">DATE </t>
  </si>
  <si>
    <t xml:space="preserve">NAME </t>
  </si>
  <si>
    <t xml:space="preserve">AMOUNT </t>
  </si>
  <si>
    <t>NOTE</t>
  </si>
  <si>
    <t xml:space="preserve">MD MAMUN SHEIKH </t>
  </si>
  <si>
    <t xml:space="preserve">ABDUS SALAM </t>
  </si>
  <si>
    <t>NAZMUL HOSSAIN SUJAN</t>
  </si>
  <si>
    <t xml:space="preserve">ABDUR RAKIB </t>
  </si>
  <si>
    <t>500 বাকি</t>
  </si>
  <si>
    <t>ABDULLAH JAHANGIR</t>
  </si>
  <si>
    <t>MD MIZANUR RAHMAN</t>
  </si>
  <si>
    <t>NAZMUL HASSAN</t>
  </si>
  <si>
    <t>বাতিল</t>
  </si>
  <si>
    <t xml:space="preserve">RUHUL AMIN </t>
  </si>
  <si>
    <t>MOHIUDDIN BABUL</t>
  </si>
  <si>
    <t xml:space="preserve">APEL MAHMUD </t>
  </si>
  <si>
    <t>MOHAMMAD YOUSUF</t>
  </si>
  <si>
    <t>MEZANUR RAHMAN</t>
  </si>
  <si>
    <t>KABIRUL ISLAM</t>
  </si>
  <si>
    <t>MD OBAYDUR RAHMAN</t>
  </si>
  <si>
    <t xml:space="preserve">G M NOZIR AHMED </t>
  </si>
  <si>
    <t>HUZAYFA SALAM</t>
  </si>
  <si>
    <t>MD IMAM UDDIN BABU</t>
  </si>
  <si>
    <t>FAKHRUDDIN</t>
  </si>
  <si>
    <t>ABDUL WADUD</t>
  </si>
  <si>
    <t>LOKMAN HOSSAIN</t>
  </si>
  <si>
    <t>ABUL BASHAR</t>
  </si>
  <si>
    <t>MONIRUL ISLAM BABU</t>
  </si>
  <si>
    <t>RAFIKUR RAHMAN MARUF</t>
  </si>
  <si>
    <t>HAFIZUR RAHMAN JAHANGIR</t>
  </si>
  <si>
    <t>SADDAM HOSSAIN</t>
  </si>
  <si>
    <t>TAZ MOHAMMAD</t>
  </si>
  <si>
    <t>KAZI MOINUL HAQUE</t>
  </si>
  <si>
    <t>KAZI ASHRAFUL HAQUE</t>
  </si>
  <si>
    <t>FARABI RAHMAN EASHAN</t>
  </si>
  <si>
    <t>MD ABDUL ALIM AZHARI</t>
  </si>
  <si>
    <t>SHAHJAHAN  MRIDHA</t>
  </si>
  <si>
    <t>MD ABDUR RAHIM</t>
  </si>
  <si>
    <t>FARZANA AKTER</t>
  </si>
  <si>
    <t>AYESHA RAHMAN</t>
  </si>
  <si>
    <t xml:space="preserve">MD ABU BAKAR </t>
  </si>
  <si>
    <t>SUMAIYA AKTER</t>
  </si>
  <si>
    <t>FUAD BIN ABDUL ALIM</t>
  </si>
  <si>
    <t>HAMAD BIN ABDUL ALIM</t>
  </si>
  <si>
    <t>TASNIM BINTE ABDUL ALIM</t>
  </si>
  <si>
    <t>NESSAR UDDIN</t>
  </si>
  <si>
    <t>PROTTASHA PARVEZ</t>
  </si>
  <si>
    <t xml:space="preserve">SADIA AFROZ </t>
  </si>
  <si>
    <t>SAHIL HOSSAIN SAFWAN</t>
  </si>
  <si>
    <t>RUKSANA SULTANA ANI</t>
  </si>
  <si>
    <t>Mrs. LOVELEY ISLAM RANU</t>
  </si>
  <si>
    <t>TOTAL</t>
  </si>
  <si>
    <t>MONTHLY BALANCE SHEET APRIL 2026</t>
  </si>
  <si>
    <t>Inome</t>
  </si>
  <si>
    <t>Expenses</t>
  </si>
  <si>
    <t>Amounts</t>
  </si>
  <si>
    <t>Toyota Rush Purchase</t>
  </si>
  <si>
    <t>UBER Reg. Fees</t>
  </si>
  <si>
    <t>Oil Changing ( Toyota Rush)</t>
  </si>
  <si>
    <t>Food Cost for Meeting</t>
  </si>
  <si>
    <t>Toys Stock 25p ( Yousuf Vai)</t>
  </si>
  <si>
    <t>23-4-26</t>
  </si>
  <si>
    <t>Nissan Sunny Purchase 2019</t>
  </si>
  <si>
    <t>26-4-26</t>
  </si>
  <si>
    <t>Food Cost</t>
  </si>
  <si>
    <t>27-4-26</t>
  </si>
  <si>
    <t>Petrol (20+20)</t>
  </si>
  <si>
    <t>28-4-26</t>
  </si>
  <si>
    <t>Mobile bill</t>
  </si>
  <si>
    <t>30-4-26</t>
  </si>
  <si>
    <t xml:space="preserve">Toyota Rush Servicing </t>
  </si>
  <si>
    <t>IMAM UDDIN</t>
  </si>
  <si>
    <t>29-4-26</t>
  </si>
  <si>
    <t>Online Business Toys</t>
  </si>
  <si>
    <t>Rent a Car ( Toyota Rush)</t>
  </si>
  <si>
    <t>Total Expenses</t>
  </si>
  <si>
    <t>CASH IN HAND</t>
  </si>
  <si>
    <t>MONTHLY BALANCE SHEET MAY 2026</t>
  </si>
  <si>
    <t>Opening Balance</t>
  </si>
  <si>
    <t>Petrol</t>
  </si>
  <si>
    <t>Kia Picanto (Advance)</t>
  </si>
  <si>
    <t>Istimara Change sunny 2019</t>
  </si>
  <si>
    <t>Abdul Alim Azhari</t>
  </si>
  <si>
    <t>Honda City 2017</t>
  </si>
  <si>
    <t>Imam Uddin Babu</t>
  </si>
  <si>
    <t>Suzuki Celerio 2012</t>
  </si>
  <si>
    <t>Kazi Moinul Hoque</t>
  </si>
  <si>
    <t>Kazi Ashraful Hoque</t>
  </si>
  <si>
    <t>Nissan Sunny 19 Servicing</t>
  </si>
  <si>
    <t>Farabi Rahman Eashan</t>
  </si>
  <si>
    <t>Honda City 2017 Servicing</t>
  </si>
  <si>
    <t>Fakhruddin</t>
  </si>
  <si>
    <t>14/5/2026</t>
  </si>
  <si>
    <t xml:space="preserve">Kia Picanto </t>
  </si>
  <si>
    <t>Abul Bashar</t>
  </si>
  <si>
    <t>Taxi Cost</t>
  </si>
  <si>
    <t>G M Nozir Ahmed</t>
  </si>
  <si>
    <t>Suzuki Celerio 2012 Servicing</t>
  </si>
  <si>
    <t>15/5/2026</t>
  </si>
  <si>
    <t>Honda City 2017 Advance</t>
  </si>
  <si>
    <t>16/5/2026</t>
  </si>
  <si>
    <t>Suzuki Celerio 2012 (Advance)</t>
  </si>
  <si>
    <t>Changan 2023</t>
  </si>
  <si>
    <t>20/5/2026</t>
  </si>
  <si>
    <t>3 Toys Car Sell</t>
  </si>
  <si>
    <t>17/5/2026</t>
  </si>
  <si>
    <t>Changan 2023 Servicing</t>
  </si>
  <si>
    <t>22/5/2026</t>
  </si>
  <si>
    <t>Sahajan Mridha</t>
  </si>
  <si>
    <t>Internet Bill</t>
  </si>
  <si>
    <t>19/5/2026</t>
  </si>
  <si>
    <t>Changan Light Fixing</t>
  </si>
  <si>
    <t>MONTHLY BALANCE SHEET JUNE 2026</t>
  </si>
  <si>
    <t>Toyota Rush Servicing</t>
  </si>
  <si>
    <t>Toyota Rush Rent Collect</t>
  </si>
  <si>
    <t>Mobile Bill</t>
  </si>
  <si>
    <t>Honda City Rent 2017</t>
  </si>
  <si>
    <t>Kia Servicing</t>
  </si>
  <si>
    <t>Sunny Rent Collect 2019</t>
  </si>
  <si>
    <t xml:space="preserve">Suzuki Servicing </t>
  </si>
  <si>
    <t>13/6/2026</t>
  </si>
  <si>
    <t>Kia Picanto Rent Collect</t>
  </si>
  <si>
    <t>Suzuki Celerio 2012 Rent Collect</t>
  </si>
  <si>
    <t>15/6/2026</t>
  </si>
  <si>
    <t>Changan Alsvi Advance Advance</t>
  </si>
  <si>
    <t>Food Cost (Nazmul+Salam)</t>
  </si>
  <si>
    <t>Kia Picanto Extra Days Income</t>
  </si>
  <si>
    <t>Kia Picanto Advance Rent</t>
  </si>
  <si>
    <t>Sunny 2019 Tire Chagne</t>
  </si>
  <si>
    <t>16/6/2026</t>
  </si>
  <si>
    <t>New Investor Farjana Akter</t>
  </si>
  <si>
    <t>Suzuki Servicing &amp; Tire</t>
  </si>
  <si>
    <t>New Investor Ayesha Ilham</t>
  </si>
  <si>
    <t xml:space="preserve">Honda City Radiotar </t>
  </si>
  <si>
    <t>New Investor Abu Bakr</t>
  </si>
  <si>
    <t>Paid to Beetbox Sadman</t>
  </si>
  <si>
    <t>20/6/2026</t>
  </si>
  <si>
    <t>Suzuki Celerio Blue-2014 Advance</t>
  </si>
  <si>
    <t>14/6/2026</t>
  </si>
  <si>
    <t>Honda City Servicing 2017</t>
  </si>
  <si>
    <t>22/6/2026</t>
  </si>
  <si>
    <t>Sumaiya Chawdury</t>
  </si>
  <si>
    <t xml:space="preserve">Kia Picanto deposit back to Moses  </t>
  </si>
  <si>
    <t>Fuad Bin Abdul Alim</t>
  </si>
  <si>
    <t>Traffic Violation Paid For Kingsley</t>
  </si>
  <si>
    <t>Hamad Bin Abdul Alim</t>
  </si>
  <si>
    <t>Car Servicing(Celerio+Kia+Sunny)</t>
  </si>
  <si>
    <t>Tasnim binte Abdul Alim</t>
  </si>
  <si>
    <t>17/6/2026</t>
  </si>
  <si>
    <t xml:space="preserve">Bought Suzuki Celerio 2014 Blue </t>
  </si>
  <si>
    <t>24/6/2026</t>
  </si>
  <si>
    <t xml:space="preserve">Nessar Uddin </t>
  </si>
  <si>
    <t>18/6/2026</t>
  </si>
  <si>
    <t>Celerio 2014 new Tire</t>
  </si>
  <si>
    <t>Nissan Micra Bought</t>
  </si>
  <si>
    <t>23/6/2026</t>
  </si>
  <si>
    <t>Food +Petrol+Misc</t>
  </si>
  <si>
    <t>26/6/2026</t>
  </si>
  <si>
    <t>Suzuki Swift Bought</t>
  </si>
  <si>
    <t>29/6/2026</t>
  </si>
  <si>
    <t>Bright Car Garage Payment</t>
  </si>
  <si>
    <t>30/6/2026</t>
  </si>
  <si>
    <t>Suzuki Swift Servicing</t>
  </si>
  <si>
    <t>Celerio 2014 Servicing</t>
  </si>
  <si>
    <t>MONTHLY BALANCE SHEET JULY 2026</t>
  </si>
  <si>
    <t>Honda City 2017 Fawran to Ismail ( Driver will pay to NM)</t>
  </si>
  <si>
    <t xml:space="preserve">MD Abdur Rahim </t>
  </si>
  <si>
    <t>Nissan Micra Servicing</t>
  </si>
  <si>
    <t>Prottasha Parvej</t>
  </si>
  <si>
    <t>Nissan Micra (2012) 490219</t>
  </si>
  <si>
    <t>Sadia Afroz</t>
  </si>
  <si>
    <t>internet</t>
  </si>
  <si>
    <t>Ruksana Sultana Any</t>
  </si>
  <si>
    <t>Mrs. Lovely Islam Ranu</t>
  </si>
  <si>
    <t xml:space="preserve">Suzuki Celerio Battery </t>
  </si>
  <si>
    <t xml:space="preserve">GM Nazir Ahmed </t>
  </si>
  <si>
    <t>Business Meeting</t>
  </si>
  <si>
    <t>Md Mizanur Rahman</t>
  </si>
  <si>
    <t>Changan Tire</t>
  </si>
  <si>
    <t>Nazmul Dues</t>
  </si>
  <si>
    <t>Meeting Cost</t>
  </si>
  <si>
    <t>Changan Advance</t>
  </si>
  <si>
    <t>Vehicles Servicing ( Changan+ Micra 490219)</t>
  </si>
  <si>
    <t>Suzuki Swift rent</t>
  </si>
  <si>
    <t>Nissan Micra 2012 (490219) Advance</t>
  </si>
  <si>
    <t>Honda City Servicing Cost return</t>
  </si>
  <si>
    <t>13/7/2026</t>
  </si>
  <si>
    <t>Honda City 2017 Accident Reg.(Driver will pay)</t>
  </si>
  <si>
    <t>Sunny 2019 Income</t>
  </si>
  <si>
    <t>15/7/2026</t>
  </si>
  <si>
    <t xml:space="preserve">Toyota Rush Ac Servicing </t>
  </si>
  <si>
    <t>Celerio Kingsley June rent</t>
  </si>
  <si>
    <t>Changan Tire Change in Bright Car</t>
  </si>
  <si>
    <t>Sunny 2019 June Rent by (Bayzid)</t>
  </si>
  <si>
    <t>Nissan Sunny 2012 Bought</t>
  </si>
  <si>
    <t>Kia Picanto Rent</t>
  </si>
  <si>
    <t>20/7/2026</t>
  </si>
  <si>
    <t>Celerio Bule Rent</t>
  </si>
  <si>
    <t>17/7/2026</t>
  </si>
  <si>
    <t>Car Servicing(Micra+City+Sunny2012)</t>
  </si>
  <si>
    <t>25/7/2026</t>
  </si>
  <si>
    <t>Honda City Servicing Cost 2nd return Payment</t>
  </si>
  <si>
    <t>19/7/2026</t>
  </si>
  <si>
    <t>28/7/2026</t>
  </si>
  <si>
    <t>Istimara + Insuarance + Fahes</t>
  </si>
  <si>
    <t>(Suzuki Battery+Car Wash+Petrol)</t>
  </si>
  <si>
    <t>Key Ring and T-Shirts</t>
  </si>
  <si>
    <t>23/7/2026</t>
  </si>
  <si>
    <t>for New Istimara Card (Suzuki Swift + Honda City)</t>
  </si>
  <si>
    <t>24/7/2026</t>
  </si>
  <si>
    <t>Paid to Nessar vai's due bill for petrol and car wash</t>
  </si>
  <si>
    <t>27/7/2026</t>
  </si>
  <si>
    <t>Violation Paid for Kia Pikanto</t>
  </si>
  <si>
    <t>Violation Paid for Suzuki Celerio Blue</t>
  </si>
  <si>
    <t>Violation Paid for Toyota Rush</t>
  </si>
  <si>
    <t>Kia Picanto Servicing</t>
  </si>
  <si>
    <t>Nissan Sunny (Mamun Vai)</t>
  </si>
  <si>
    <t xml:space="preserve">Salam Vai Medicine &amp; Medical </t>
  </si>
  <si>
    <t>31/7/2026</t>
  </si>
  <si>
    <t xml:space="preserve">Al-amin Driver Loan </t>
  </si>
  <si>
    <t>Bright Car Payment</t>
  </si>
  <si>
    <t>MONTHLY BALANCE SHEET AUGUST 2026</t>
  </si>
  <si>
    <t xml:space="preserve">Bright Car Payment </t>
  </si>
  <si>
    <t>Total Vehicle Bought for NM</t>
  </si>
  <si>
    <t>Car name</t>
  </si>
  <si>
    <t>Price</t>
  </si>
  <si>
    <t>Nissan Sunny Purchase</t>
  </si>
  <si>
    <t>Honda City</t>
  </si>
  <si>
    <t>Changan Alsvi</t>
  </si>
  <si>
    <t xml:space="preserve">Suzuki Celerio Blue </t>
  </si>
  <si>
    <t>Nissan Micra 490219</t>
  </si>
  <si>
    <t>Total Expenses for Vehicle</t>
  </si>
  <si>
    <t>May Expenses</t>
  </si>
  <si>
    <t>June Expenses</t>
  </si>
  <si>
    <t>July Expenses</t>
  </si>
  <si>
    <t>50 Person Members share</t>
  </si>
  <si>
    <t xml:space="preserve">Total Founder Investment </t>
  </si>
  <si>
    <t xml:space="preserve">May Month Income </t>
  </si>
  <si>
    <t xml:space="preserve">June Month Income </t>
  </si>
  <si>
    <t>July Month Income</t>
  </si>
  <si>
    <t>Total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</si>
</sst>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445]0"/>
    <numFmt numFmtId="165" formatCode="_(* #,##0.0_);_(* \(#,##0.0\);_(* &quot;-&quot;??_);_(@_)"/>
    <numFmt numFmtId="166" formatCode="_(* #,##0_);_(* \(#,##0\);_(* &quot;-&quot;??_);_(@_)"/>
    <numFmt numFmtId="167" formatCode="_(* #,##0.0_);_(* \(#,##0.0\);_(* &quot;-&quot;?_);_(@_)"/>
    <numFmt numFmtId="168" formatCode="[$-5000000]mm/dd/yyyy"/>
    <numFmt numFmtId="169" formatCode="0.0"/>
  </numFmts>
  <fonts count="3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8"/>
      <color theme="0"/>
      <name val="Times New Roman"/>
      <family val="1"/>
    </font>
    <font>
      <sz val="14"/>
      <color theme="0"/>
      <name val="Times New Roman"/>
      <family val="1"/>
    </font>
    <font>
      <sz val="14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Tiro Bangla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2"/>
      <color rgb="FFFF0000"/>
      <name val="Tiro Bangla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ro Bangla"/>
    </font>
    <font>
      <b/>
      <sz val="18"/>
      <color theme="1"/>
      <name val="Tiro Bangla"/>
    </font>
    <font>
      <sz val="14"/>
      <color theme="1"/>
      <name val="Tiro Bangla"/>
    </font>
    <font>
      <b/>
      <sz val="16"/>
      <color theme="1"/>
      <name val="Tiro Bangla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3" fillId="0" borderId="0" applyFont="0" applyFill="0" applyBorder="0" applyAlignment="0" applyProtection="0"/>
  </cellStyleXfs>
  <cellXfs count="242">
    <xf numFmtId="0" fontId="0" fillId="0" borderId="0" xfId="0"/>
    <xf numFmtId="0" fontId="4" fillId="0" borderId="1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  <xf numFmtId="0" fontId="5" fillId="3" borderId="1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6" borderId="9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2" fontId="5" fillId="0" borderId="15" xfId="0" applyNumberFormat="1" applyFont="1" applyBorder="1" applyAlignment="1">
      <alignment horizontal="right" vertical="center"/>
    </xf>
    <xf numFmtId="2" fontId="5" fillId="0" borderId="16" xfId="0" applyNumberFormat="1" applyFont="1" applyBorder="1" applyAlignment="1">
      <alignment horizontal="right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5" borderId="14" xfId="0" applyFont="1" applyFill="1" applyBorder="1" applyAlignment="1">
      <alignment vertical="center"/>
    </xf>
    <xf numFmtId="0" fontId="9" fillId="0" borderId="24" xfId="0" applyFont="1" applyBorder="1" applyAlignment="1">
      <alignment horizontal="center" vertical="center"/>
    </xf>
    <xf numFmtId="2" fontId="5" fillId="0" borderId="26" xfId="0" applyNumberFormat="1" applyFont="1" applyBorder="1" applyAlignment="1">
      <alignment horizontal="right" vertical="center"/>
    </xf>
    <xf numFmtId="0" fontId="5" fillId="5" borderId="23" xfId="0" applyFont="1" applyFill="1" applyBorder="1" applyAlignment="1">
      <alignment horizontal="center" vertical="center"/>
    </xf>
    <xf numFmtId="2" fontId="5" fillId="5" borderId="14" xfId="0" applyNumberFormat="1" applyFont="1" applyFill="1" applyBorder="1" applyAlignment="1">
      <alignment horizontal="right" vertical="center"/>
    </xf>
    <xf numFmtId="14" fontId="9" fillId="0" borderId="17" xfId="0" applyNumberFormat="1" applyFont="1" applyBorder="1" applyAlignment="1">
      <alignment horizontal="center" vertical="center"/>
    </xf>
    <xf numFmtId="0" fontId="10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3" xfId="0" applyFont="1" applyBorder="1"/>
    <xf numFmtId="0" fontId="5" fillId="8" borderId="1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2" fontId="5" fillId="0" borderId="3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left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4" fillId="0" borderId="17" xfId="0" applyNumberFormat="1" applyFont="1" applyBorder="1" applyAlignment="1">
      <alignment horizontal="right" vertical="center"/>
    </xf>
    <xf numFmtId="2" fontId="4" fillId="0" borderId="15" xfId="0" applyNumberFormat="1" applyFont="1" applyBorder="1" applyAlignment="1">
      <alignment horizontal="right" vertical="center"/>
    </xf>
    <xf numFmtId="2" fontId="9" fillId="0" borderId="15" xfId="0" applyNumberFormat="1" applyFont="1" applyBorder="1" applyAlignment="1">
      <alignment horizontal="right" vertical="center"/>
    </xf>
    <xf numFmtId="14" fontId="9" fillId="0" borderId="15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14" fontId="5" fillId="0" borderId="15" xfId="0" applyNumberFormat="1" applyFont="1" applyBorder="1" applyAlignment="1">
      <alignment horizontal="right" vertical="center"/>
    </xf>
    <xf numFmtId="14" fontId="6" fillId="0" borderId="15" xfId="0" applyNumberFormat="1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right" vertical="center"/>
    </xf>
    <xf numFmtId="0" fontId="5" fillId="3" borderId="21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2" fontId="5" fillId="5" borderId="6" xfId="0" applyNumberFormat="1" applyFont="1" applyFill="1" applyBorder="1" applyAlignment="1">
      <alignment horizontal="right" vertical="center"/>
    </xf>
    <xf numFmtId="14" fontId="4" fillId="0" borderId="18" xfId="0" applyNumberFormat="1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right" vertical="center"/>
    </xf>
    <xf numFmtId="0" fontId="4" fillId="0" borderId="41" xfId="0" applyFont="1" applyBorder="1" applyAlignment="1">
      <alignment horizontal="left" vertical="center"/>
    </xf>
    <xf numFmtId="2" fontId="4" fillId="0" borderId="41" xfId="0" applyNumberFormat="1" applyFont="1" applyBorder="1" applyAlignment="1">
      <alignment horizontal="right" vertical="center"/>
    </xf>
    <xf numFmtId="14" fontId="4" fillId="0" borderId="4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27" xfId="0" applyFont="1" applyBorder="1" applyAlignment="1">
      <alignment horizontal="center" vertical="center"/>
    </xf>
    <xf numFmtId="0" fontId="19" fillId="0" borderId="27" xfId="0" applyFont="1" applyBorder="1"/>
    <xf numFmtId="0" fontId="19" fillId="0" borderId="33" xfId="0" applyFont="1" applyBorder="1"/>
    <xf numFmtId="0" fontId="19" fillId="0" borderId="2" xfId="0" applyFont="1" applyBorder="1" applyAlignment="1">
      <alignment horizontal="center"/>
    </xf>
    <xf numFmtId="14" fontId="19" fillId="0" borderId="2" xfId="0" applyNumberFormat="1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33" xfId="0" applyFont="1" applyBorder="1" applyAlignment="1">
      <alignment horizontal="center" vertical="center"/>
    </xf>
    <xf numFmtId="0" fontId="19" fillId="0" borderId="41" xfId="0" applyFont="1" applyBorder="1"/>
    <xf numFmtId="0" fontId="19" fillId="0" borderId="41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/>
    </xf>
    <xf numFmtId="0" fontId="20" fillId="10" borderId="1" xfId="0" applyFont="1" applyFill="1" applyBorder="1" applyAlignment="1">
      <alignment horizontal="center" vertical="center"/>
    </xf>
    <xf numFmtId="0" fontId="20" fillId="10" borderId="27" xfId="0" applyFont="1" applyFill="1" applyBorder="1"/>
    <xf numFmtId="0" fontId="20" fillId="10" borderId="27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/>
    </xf>
    <xf numFmtId="0" fontId="19" fillId="10" borderId="1" xfId="0" applyFont="1" applyFill="1" applyBorder="1" applyAlignment="1">
      <alignment horizontal="center" vertical="center"/>
    </xf>
    <xf numFmtId="0" fontId="19" fillId="10" borderId="25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4" fillId="0" borderId="2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165" fontId="5" fillId="3" borderId="22" xfId="1" applyNumberFormat="1" applyFont="1" applyFill="1" applyBorder="1" applyAlignment="1">
      <alignment horizontal="right" vertical="center"/>
    </xf>
    <xf numFmtId="165" fontId="5" fillId="2" borderId="40" xfId="1" applyNumberFormat="1" applyFont="1" applyFill="1" applyBorder="1" applyAlignment="1">
      <alignment horizontal="right" vertical="center"/>
    </xf>
    <xf numFmtId="165" fontId="5" fillId="5" borderId="6" xfId="1" applyNumberFormat="1" applyFont="1" applyFill="1" applyBorder="1" applyAlignment="1">
      <alignment horizontal="right" vertical="center"/>
    </xf>
    <xf numFmtId="0" fontId="4" fillId="0" borderId="45" xfId="0" applyFont="1" applyBorder="1" applyAlignment="1">
      <alignment horizontal="left" vertical="center"/>
    </xf>
    <xf numFmtId="166" fontId="5" fillId="0" borderId="19" xfId="1" applyNumberFormat="1" applyFont="1" applyBorder="1" applyAlignment="1">
      <alignment horizontal="right" vertical="center"/>
    </xf>
    <xf numFmtId="166" fontId="5" fillId="0" borderId="2" xfId="1" applyNumberFormat="1" applyFont="1" applyBorder="1" applyAlignment="1">
      <alignment horizontal="right" vertical="center"/>
    </xf>
    <xf numFmtId="167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right"/>
    </xf>
    <xf numFmtId="0" fontId="24" fillId="0" borderId="0" xfId="0" applyFont="1"/>
    <xf numFmtId="0" fontId="4" fillId="0" borderId="13" xfId="0" applyFont="1" applyBorder="1" applyAlignment="1">
      <alignment horizontal="center"/>
    </xf>
    <xf numFmtId="166" fontId="6" fillId="0" borderId="2" xfId="1" applyNumberFormat="1" applyFont="1" applyBorder="1" applyAlignment="1">
      <alignment horizontal="right" vertical="center"/>
    </xf>
    <xf numFmtId="0" fontId="24" fillId="0" borderId="0" xfId="0" applyFont="1" applyAlignment="1">
      <alignment horizontal="center"/>
    </xf>
    <xf numFmtId="0" fontId="26" fillId="0" borderId="33" xfId="0" applyFont="1" applyBorder="1"/>
    <xf numFmtId="0" fontId="26" fillId="0" borderId="43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68" fontId="26" fillId="0" borderId="27" xfId="0" applyNumberFormat="1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7" fillId="0" borderId="33" xfId="0" applyFont="1" applyBorder="1"/>
    <xf numFmtId="164" fontId="27" fillId="0" borderId="33" xfId="0" applyNumberFormat="1" applyFont="1" applyBorder="1"/>
    <xf numFmtId="164" fontId="27" fillId="0" borderId="50" xfId="0" applyNumberFormat="1" applyFont="1" applyBorder="1"/>
    <xf numFmtId="0" fontId="26" fillId="11" borderId="46" xfId="0" applyFont="1" applyFill="1" applyBorder="1" applyAlignment="1">
      <alignment horizontal="center" vertical="center"/>
    </xf>
    <xf numFmtId="0" fontId="26" fillId="11" borderId="47" xfId="0" applyFont="1" applyFill="1" applyBorder="1" applyAlignment="1">
      <alignment horizontal="center" vertical="center"/>
    </xf>
    <xf numFmtId="0" fontId="26" fillId="11" borderId="22" xfId="0" applyFont="1" applyFill="1" applyBorder="1" applyAlignment="1">
      <alignment horizontal="center" vertical="center"/>
    </xf>
    <xf numFmtId="0" fontId="24" fillId="12" borderId="21" xfId="0" applyFont="1" applyFill="1" applyBorder="1" applyAlignment="1">
      <alignment horizontal="center" vertical="center"/>
    </xf>
    <xf numFmtId="164" fontId="26" fillId="12" borderId="1" xfId="0" applyNumberFormat="1" applyFont="1" applyFill="1" applyBorder="1" applyAlignment="1">
      <alignment horizontal="center" vertical="center"/>
    </xf>
    <xf numFmtId="0" fontId="26" fillId="12" borderId="3" xfId="0" applyFont="1" applyFill="1" applyBorder="1" applyAlignment="1">
      <alignment horizontal="center"/>
    </xf>
    <xf numFmtId="169" fontId="5" fillId="5" borderId="6" xfId="0" applyNumberFormat="1" applyFont="1" applyFill="1" applyBorder="1" applyAlignment="1">
      <alignment horizontal="right" vertical="center"/>
    </xf>
    <xf numFmtId="0" fontId="19" fillId="5" borderId="27" xfId="0" applyFont="1" applyFill="1" applyBorder="1"/>
    <xf numFmtId="0" fontId="19" fillId="5" borderId="27" xfId="0" applyFont="1" applyFill="1" applyBorder="1" applyAlignment="1">
      <alignment horizontal="center" vertical="center"/>
    </xf>
    <xf numFmtId="166" fontId="5" fillId="0" borderId="2" xfId="1" applyNumberFormat="1" applyFont="1" applyFill="1" applyBorder="1" applyAlignment="1">
      <alignment horizontal="right" vertical="center"/>
    </xf>
    <xf numFmtId="166" fontId="0" fillId="0" borderId="0" xfId="0" applyNumberFormat="1"/>
    <xf numFmtId="0" fontId="4" fillId="0" borderId="26" xfId="0" applyFont="1" applyBorder="1" applyAlignment="1">
      <alignment horizontal="center" vertical="center"/>
    </xf>
    <xf numFmtId="166" fontId="5" fillId="0" borderId="19" xfId="1" applyNumberFormat="1" applyFont="1" applyFill="1" applyBorder="1" applyAlignment="1">
      <alignment horizontal="right" vertical="center"/>
    </xf>
    <xf numFmtId="0" fontId="15" fillId="0" borderId="11" xfId="0" applyFont="1" applyBorder="1" applyAlignment="1">
      <alignment horizontal="left" vertical="top"/>
    </xf>
    <xf numFmtId="166" fontId="16" fillId="0" borderId="2" xfId="1" applyNumberFormat="1" applyFont="1" applyBorder="1" applyAlignment="1">
      <alignment horizontal="right" vertical="center"/>
    </xf>
    <xf numFmtId="164" fontId="26" fillId="0" borderId="27" xfId="0" applyNumberFormat="1" applyFont="1" applyBorder="1" applyAlignment="1">
      <alignment horizontal="center" vertical="center"/>
    </xf>
    <xf numFmtId="164" fontId="27" fillId="0" borderId="50" xfId="0" applyNumberFormat="1" applyFont="1" applyBorder="1" applyAlignment="1">
      <alignment horizontal="right"/>
    </xf>
    <xf numFmtId="0" fontId="26" fillId="0" borderId="41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164" fontId="26" fillId="0" borderId="49" xfId="0" applyNumberFormat="1" applyFont="1" applyBorder="1" applyAlignment="1">
      <alignment horizontal="center" vertical="center"/>
    </xf>
    <xf numFmtId="164" fontId="26" fillId="0" borderId="43" xfId="0" applyNumberFormat="1" applyFont="1" applyBorder="1" applyAlignment="1">
      <alignment horizontal="center" vertical="center"/>
    </xf>
    <xf numFmtId="164" fontId="26" fillId="0" borderId="48" xfId="0" applyNumberFormat="1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164" fontId="26" fillId="0" borderId="41" xfId="0" applyNumberFormat="1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164" fontId="26" fillId="12" borderId="42" xfId="0" applyNumberFormat="1" applyFont="1" applyFill="1" applyBorder="1" applyAlignment="1">
      <alignment horizontal="center" vertical="center"/>
    </xf>
    <xf numFmtId="14" fontId="26" fillId="0" borderId="27" xfId="0" applyNumberFormat="1" applyFont="1" applyBorder="1" applyAlignment="1">
      <alignment horizontal="center" vertical="center"/>
    </xf>
    <xf numFmtId="0" fontId="26" fillId="5" borderId="27" xfId="0" applyFont="1" applyFill="1" applyBorder="1" applyAlignment="1">
      <alignment horizontal="center" vertical="center"/>
    </xf>
    <xf numFmtId="164" fontId="26" fillId="5" borderId="27" xfId="0" applyNumberFormat="1" applyFont="1" applyFill="1" applyBorder="1" applyAlignment="1">
      <alignment horizontal="center" vertical="center"/>
    </xf>
    <xf numFmtId="164" fontId="26" fillId="5" borderId="49" xfId="0" applyNumberFormat="1" applyFont="1" applyFill="1" applyBorder="1" applyAlignment="1">
      <alignment horizontal="center" vertical="center"/>
    </xf>
    <xf numFmtId="164" fontId="26" fillId="5" borderId="49" xfId="0" applyNumberFormat="1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168" fontId="26" fillId="5" borderId="27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6" fontId="6" fillId="0" borderId="2" xfId="1" applyNumberFormat="1" applyFont="1" applyFill="1" applyBorder="1" applyAlignment="1">
      <alignment horizontal="right" vertical="center"/>
    </xf>
    <xf numFmtId="0" fontId="9" fillId="0" borderId="11" xfId="0" applyFont="1" applyBorder="1" applyAlignment="1">
      <alignment horizontal="left" vertical="top"/>
    </xf>
    <xf numFmtId="14" fontId="17" fillId="0" borderId="0" xfId="0" applyNumberFormat="1" applyFont="1" applyAlignment="1">
      <alignment horizontal="center" vertical="center"/>
    </xf>
    <xf numFmtId="0" fontId="26" fillId="5" borderId="49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25" fillId="5" borderId="0" xfId="0" applyNumberFormat="1" applyFont="1" applyFill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2" fontId="4" fillId="0" borderId="27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2" fontId="9" fillId="0" borderId="27" xfId="0" applyNumberFormat="1" applyFont="1" applyBorder="1" applyAlignment="1">
      <alignment horizontal="right" vertical="center"/>
    </xf>
    <xf numFmtId="164" fontId="15" fillId="0" borderId="2" xfId="0" applyNumberFormat="1" applyFont="1" applyBorder="1" applyAlignment="1">
      <alignment horizontal="center" vertical="center"/>
    </xf>
    <xf numFmtId="2" fontId="15" fillId="0" borderId="27" xfId="0" applyNumberFormat="1" applyFont="1" applyBorder="1" applyAlignment="1">
      <alignment horizontal="right" vertical="center"/>
    </xf>
    <xf numFmtId="0" fontId="15" fillId="0" borderId="27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14" fontId="4" fillId="0" borderId="27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top"/>
    </xf>
    <xf numFmtId="166" fontId="6" fillId="0" borderId="19" xfId="1" applyNumberFormat="1" applyFont="1" applyBorder="1" applyAlignment="1">
      <alignment horizontal="right" vertical="center"/>
    </xf>
    <xf numFmtId="169" fontId="5" fillId="0" borderId="2" xfId="0" applyNumberFormat="1" applyFont="1" applyBorder="1" applyAlignment="1">
      <alignment horizontal="right" vertical="center"/>
    </xf>
    <xf numFmtId="0" fontId="1" fillId="0" borderId="27" xfId="0" applyFont="1" applyBorder="1"/>
    <xf numFmtId="2" fontId="9" fillId="0" borderId="41" xfId="0" applyNumberFormat="1" applyFont="1" applyBorder="1" applyAlignment="1">
      <alignment horizontal="right" vertical="center"/>
    </xf>
    <xf numFmtId="166" fontId="5" fillId="0" borderId="26" xfId="1" applyNumberFormat="1" applyFont="1" applyBorder="1" applyAlignment="1">
      <alignment horizontal="right" vertical="center"/>
    </xf>
    <xf numFmtId="2" fontId="29" fillId="0" borderId="14" xfId="0" applyNumberFormat="1" applyFont="1" applyBorder="1"/>
    <xf numFmtId="0" fontId="20" fillId="0" borderId="52" xfId="0" applyFont="1" applyBorder="1"/>
    <xf numFmtId="0" fontId="20" fillId="0" borderId="19" xfId="0" applyFont="1" applyBorder="1"/>
    <xf numFmtId="0" fontId="20" fillId="0" borderId="20" xfId="0" applyFont="1" applyBorder="1"/>
    <xf numFmtId="0" fontId="11" fillId="0" borderId="53" xfId="0" applyFont="1" applyBorder="1"/>
    <xf numFmtId="0" fontId="1" fillId="0" borderId="15" xfId="0" applyFont="1" applyBorder="1"/>
    <xf numFmtId="0" fontId="1" fillId="0" borderId="54" xfId="0" applyFont="1" applyBorder="1"/>
    <xf numFmtId="0" fontId="1" fillId="0" borderId="41" xfId="0" applyFont="1" applyBorder="1"/>
    <xf numFmtId="0" fontId="20" fillId="0" borderId="0" xfId="0" applyFont="1"/>
    <xf numFmtId="2" fontId="0" fillId="0" borderId="0" xfId="0" applyNumberFormat="1"/>
    <xf numFmtId="2" fontId="4" fillId="0" borderId="0" xfId="0" applyNumberFormat="1" applyFont="1" applyAlignment="1">
      <alignment horizontal="right" vertical="center"/>
    </xf>
    <xf numFmtId="1" fontId="5" fillId="0" borderId="19" xfId="0" applyNumberFormat="1" applyFont="1" applyBorder="1" applyAlignment="1">
      <alignment horizontal="right" vertical="center"/>
    </xf>
    <xf numFmtId="1" fontId="5" fillId="0" borderId="2" xfId="0" applyNumberFormat="1" applyFont="1" applyBorder="1" applyAlignment="1">
      <alignment horizontal="right" vertical="center"/>
    </xf>
    <xf numFmtId="1" fontId="6" fillId="0" borderId="2" xfId="0" applyNumberFormat="1" applyFont="1" applyBorder="1" applyAlignment="1">
      <alignment horizontal="right" vertical="center"/>
    </xf>
    <xf numFmtId="1" fontId="5" fillId="0" borderId="26" xfId="0" applyNumberFormat="1" applyFont="1" applyBorder="1" applyAlignment="1">
      <alignment horizontal="right" vertical="center"/>
    </xf>
    <xf numFmtId="1" fontId="5" fillId="5" borderId="22" xfId="0" applyNumberFormat="1" applyFont="1" applyFill="1" applyBorder="1" applyAlignment="1">
      <alignment horizontal="right" vertical="center"/>
    </xf>
    <xf numFmtId="1" fontId="5" fillId="3" borderId="2" xfId="0" applyNumberFormat="1" applyFont="1" applyFill="1" applyBorder="1" applyAlignment="1">
      <alignment horizontal="right" vertical="center"/>
    </xf>
    <xf numFmtId="1" fontId="5" fillId="2" borderId="26" xfId="0" applyNumberFormat="1" applyFont="1" applyFill="1" applyBorder="1" applyAlignment="1">
      <alignment horizontal="right" vertical="center"/>
    </xf>
    <xf numFmtId="14" fontId="5" fillId="0" borderId="15" xfId="0" applyNumberFormat="1" applyFont="1" applyFill="1" applyBorder="1" applyAlignment="1">
      <alignment horizontal="right" vertical="center"/>
    </xf>
    <xf numFmtId="0" fontId="4" fillId="0" borderId="11" xfId="0" applyFont="1" applyFill="1" applyBorder="1" applyAlignment="1">
      <alignment horizontal="left" vertical="top"/>
    </xf>
    <xf numFmtId="0" fontId="7" fillId="6" borderId="8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/>
    </xf>
    <xf numFmtId="0" fontId="25" fillId="12" borderId="5" xfId="0" applyFont="1" applyFill="1" applyBorder="1" applyAlignment="1">
      <alignment horizontal="center" vertical="center"/>
    </xf>
    <xf numFmtId="0" fontId="25" fillId="12" borderId="6" xfId="0" applyFont="1" applyFill="1" applyBorder="1" applyAlignment="1">
      <alignment horizontal="center" vertical="center"/>
    </xf>
    <xf numFmtId="0" fontId="21" fillId="5" borderId="29" xfId="0" applyFont="1" applyFill="1" applyBorder="1" applyAlignment="1">
      <alignment horizontal="center" vertical="center"/>
    </xf>
    <xf numFmtId="0" fontId="21" fillId="5" borderId="30" xfId="0" applyFont="1" applyFill="1" applyBorder="1" applyAlignment="1">
      <alignment horizontal="center" vertical="center"/>
    </xf>
    <xf numFmtId="0" fontId="21" fillId="5" borderId="3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20" fillId="8" borderId="28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0" fontId="3" fillId="9" borderId="30" xfId="0" applyFont="1" applyFill="1" applyBorder="1" applyAlignment="1">
      <alignment horizontal="center" vertical="center"/>
    </xf>
    <xf numFmtId="0" fontId="3" fillId="9" borderId="31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2647-56C3-4033-B4F0-22FDC0A3BDEB}">
  <sheetPr>
    <pageSetUpPr fitToPage="1"/>
  </sheetPr>
  <dimension ref="A1:G61"/>
  <sheetViews>
    <sheetView workbookViewId="0">
      <pane ySplit="2" topLeftCell="A3" activePane="bottomLeft" state="frozen"/>
      <selection pane="bottomLeft" activeCell="E5" sqref="E5"/>
    </sheetView>
  </sheetViews>
  <sheetFormatPr defaultRowHeight="15"/>
  <cols>
    <col min="1" max="1" width="12.140625" style="33" customWidth="1"/>
    <col min="2" max="2" width="49" style="33" customWidth="1"/>
    <col min="3" max="3" width="17.140625" style="33" bestFit="1" customWidth="1"/>
    <col min="4" max="4" width="26" style="33" customWidth="1"/>
    <col min="7" max="7" width="23.28515625" customWidth="1"/>
  </cols>
  <sheetData>
    <row r="1" spans="1:7" ht="21">
      <c r="A1" s="211" t="s">
        <v>0</v>
      </c>
      <c r="B1" s="211"/>
      <c r="C1" s="211"/>
      <c r="D1" s="211"/>
    </row>
    <row r="2" spans="1:7" s="34" customFormat="1" ht="23.25" customHeight="1">
      <c r="A2" s="36" t="s">
        <v>1</v>
      </c>
      <c r="B2" s="36" t="s">
        <v>2</v>
      </c>
      <c r="C2" s="36" t="s">
        <v>3</v>
      </c>
      <c r="D2" s="36" t="s">
        <v>4</v>
      </c>
      <c r="E2" s="241"/>
      <c r="F2" s="241"/>
      <c r="G2" s="241"/>
    </row>
    <row r="3" spans="1:7" ht="19.5">
      <c r="A3" s="52" t="s">
        <v>5</v>
      </c>
      <c r="B3" s="44" t="s">
        <v>6</v>
      </c>
      <c r="C3" s="53">
        <v>60</v>
      </c>
      <c r="D3" s="46"/>
      <c r="E3" s="46"/>
      <c r="F3" s="46"/>
      <c r="G3" s="46"/>
    </row>
    <row r="4" spans="1:7" ht="39">
      <c r="A4" s="155">
        <v>46241</v>
      </c>
      <c r="B4" s="46" t="s">
        <v>7</v>
      </c>
      <c r="C4" s="45"/>
      <c r="D4" s="44" t="s">
        <v>8</v>
      </c>
      <c r="E4" s="46" t="s">
        <v>9</v>
      </c>
      <c r="F4" s="46"/>
      <c r="G4" s="46"/>
    </row>
    <row r="5" spans="1:7" ht="19.5">
      <c r="A5" s="155">
        <v>46241</v>
      </c>
      <c r="B5" s="46" t="s">
        <v>10</v>
      </c>
      <c r="C5" s="45">
        <v>130</v>
      </c>
      <c r="D5" s="46" t="s">
        <v>11</v>
      </c>
      <c r="E5" s="46"/>
      <c r="F5" s="46"/>
      <c r="G5" s="46"/>
    </row>
    <row r="6" spans="1:7" ht="19.5">
      <c r="A6" s="155">
        <v>46333</v>
      </c>
      <c r="B6" s="44" t="s">
        <v>12</v>
      </c>
      <c r="C6" s="45">
        <v>225</v>
      </c>
      <c r="D6" s="46" t="s">
        <v>11</v>
      </c>
      <c r="E6" s="46"/>
      <c r="F6" s="46"/>
      <c r="G6" s="46"/>
    </row>
    <row r="7" spans="1:7" ht="19.5">
      <c r="A7" s="51" t="s">
        <v>13</v>
      </c>
      <c r="B7" s="44" t="s">
        <v>14</v>
      </c>
      <c r="C7" s="53">
        <v>500</v>
      </c>
      <c r="D7" s="46" t="s">
        <v>11</v>
      </c>
      <c r="E7" s="46"/>
      <c r="F7" s="46"/>
      <c r="G7" s="46"/>
    </row>
    <row r="8" spans="1:7" ht="19.5">
      <c r="A8" s="35"/>
      <c r="B8" s="37" t="s">
        <v>15</v>
      </c>
      <c r="C8" s="158">
        <v>60</v>
      </c>
      <c r="D8" s="46" t="s">
        <v>11</v>
      </c>
      <c r="E8" s="46"/>
      <c r="F8" s="46"/>
      <c r="G8" s="46"/>
    </row>
    <row r="9" spans="1:7" ht="19.5">
      <c r="A9" s="35"/>
      <c r="B9" s="37" t="s">
        <v>16</v>
      </c>
      <c r="C9" s="37"/>
      <c r="D9" s="46">
        <v>9000</v>
      </c>
      <c r="E9" s="46"/>
      <c r="F9" s="46"/>
      <c r="G9" s="46"/>
    </row>
    <row r="10" spans="1:7" ht="19.5">
      <c r="A10" s="35"/>
      <c r="B10" s="37" t="s">
        <v>17</v>
      </c>
      <c r="C10" s="37"/>
      <c r="D10" s="37">
        <v>950</v>
      </c>
      <c r="E10" t="s">
        <v>18</v>
      </c>
    </row>
    <row r="11" spans="1:7" ht="19.5">
      <c r="A11" s="35"/>
      <c r="B11" s="37" t="s">
        <v>16</v>
      </c>
      <c r="C11" s="37"/>
      <c r="D11" s="37">
        <f>D9-D10</f>
        <v>8050</v>
      </c>
    </row>
    <row r="12" spans="1:7" ht="19.5">
      <c r="A12" s="35"/>
      <c r="B12" s="37"/>
      <c r="C12" s="37"/>
      <c r="D12" s="37">
        <v>2900</v>
      </c>
      <c r="E12" t="s">
        <v>19</v>
      </c>
    </row>
    <row r="13" spans="1:7" ht="19.5">
      <c r="A13" s="35"/>
      <c r="B13" s="37" t="s">
        <v>20</v>
      </c>
      <c r="C13" s="37"/>
      <c r="D13" s="37">
        <f>D11-D12</f>
        <v>5150</v>
      </c>
      <c r="E13" t="s">
        <v>9</v>
      </c>
    </row>
    <row r="14" spans="1:7" ht="19.5">
      <c r="A14" s="35"/>
      <c r="B14" s="37"/>
      <c r="C14" s="37"/>
      <c r="D14" s="37"/>
    </row>
    <row r="15" spans="1:7" ht="19.5">
      <c r="A15" s="35"/>
      <c r="B15" s="37"/>
      <c r="C15" s="37"/>
      <c r="D15" s="37"/>
    </row>
    <row r="16" spans="1:7" ht="19.5">
      <c r="A16" s="35"/>
      <c r="B16" s="37"/>
      <c r="C16" s="37"/>
      <c r="D16" s="37"/>
    </row>
    <row r="17" spans="1:4" ht="29.25">
      <c r="A17" s="35"/>
      <c r="B17" s="37" t="s">
        <v>21</v>
      </c>
      <c r="C17" s="159">
        <f>SUM(C3:C16)</f>
        <v>975</v>
      </c>
      <c r="D17" s="37"/>
    </row>
    <row r="18" spans="1:4" ht="19.5">
      <c r="A18" s="35"/>
      <c r="B18" s="37"/>
      <c r="C18" s="37"/>
      <c r="D18" s="37"/>
    </row>
    <row r="19" spans="1:4" ht="19.5">
      <c r="A19" s="35"/>
      <c r="B19" s="37"/>
      <c r="C19" s="37"/>
      <c r="D19" s="37"/>
    </row>
    <row r="20" spans="1:4" ht="19.5">
      <c r="A20" s="35"/>
      <c r="B20" s="37"/>
      <c r="C20" s="37"/>
      <c r="D20" s="37"/>
    </row>
    <row r="21" spans="1:4" ht="19.5">
      <c r="A21" s="35"/>
      <c r="B21" s="37"/>
      <c r="C21" s="37"/>
      <c r="D21" s="37"/>
    </row>
    <row r="22" spans="1:4" ht="19.5">
      <c r="A22" s="35"/>
      <c r="B22" s="37"/>
      <c r="C22" s="37"/>
      <c r="D22" s="37"/>
    </row>
    <row r="23" spans="1:4" ht="19.5">
      <c r="A23" s="35"/>
      <c r="B23" s="37"/>
      <c r="C23" s="37"/>
      <c r="D23" s="37"/>
    </row>
    <row r="24" spans="1:4" ht="19.5">
      <c r="A24" s="35"/>
      <c r="B24" s="37"/>
      <c r="C24" s="37"/>
      <c r="D24" s="37"/>
    </row>
    <row r="25" spans="1:4" ht="19.5">
      <c r="A25" s="35"/>
      <c r="B25" s="37"/>
      <c r="C25" s="37"/>
      <c r="D25" s="37"/>
    </row>
    <row r="26" spans="1:4" ht="19.5">
      <c r="A26" s="35"/>
      <c r="B26" s="37"/>
      <c r="C26" s="37"/>
      <c r="D26" s="37"/>
    </row>
    <row r="27" spans="1:4" ht="15.75">
      <c r="A27" s="35"/>
    </row>
    <row r="28" spans="1:4" ht="15.75">
      <c r="A28" s="35"/>
    </row>
    <row r="29" spans="1:4" ht="15.75">
      <c r="A29" s="35"/>
    </row>
    <row r="30" spans="1:4" ht="15.75">
      <c r="A30" s="35"/>
    </row>
    <row r="31" spans="1:4" ht="15.75">
      <c r="A31" s="35"/>
    </row>
    <row r="32" spans="1:4" ht="15.75">
      <c r="A32" s="35"/>
    </row>
    <row r="33" spans="1:1" ht="15.75">
      <c r="A33" s="35"/>
    </row>
    <row r="34" spans="1:1" ht="15.75">
      <c r="A34" s="35"/>
    </row>
    <row r="35" spans="1:1" ht="15.75">
      <c r="A35" s="35"/>
    </row>
    <row r="36" spans="1:1" ht="15.75">
      <c r="A36" s="35"/>
    </row>
    <row r="37" spans="1:1" ht="15.75">
      <c r="A37" s="35"/>
    </row>
    <row r="38" spans="1:1" ht="15.75">
      <c r="A38" s="35"/>
    </row>
    <row r="39" spans="1:1" ht="15.75">
      <c r="A39" s="35"/>
    </row>
    <row r="40" spans="1:1" ht="15.75">
      <c r="A40" s="35"/>
    </row>
    <row r="41" spans="1:1" ht="15.75">
      <c r="A41" s="35"/>
    </row>
    <row r="42" spans="1:1" ht="15.75">
      <c r="A42" s="35"/>
    </row>
    <row r="43" spans="1:1" ht="15.75">
      <c r="A43" s="35"/>
    </row>
    <row r="44" spans="1:1" ht="15.75">
      <c r="A44" s="35"/>
    </row>
    <row r="45" spans="1:1" ht="15.75">
      <c r="A45" s="35"/>
    </row>
    <row r="46" spans="1:1" ht="15.75">
      <c r="A46" s="35"/>
    </row>
    <row r="47" spans="1:1" ht="15.75">
      <c r="A47" s="35"/>
    </row>
    <row r="48" spans="1:1" ht="15.75">
      <c r="A48" s="35"/>
    </row>
    <row r="49" spans="1:1" ht="15.75">
      <c r="A49" s="35"/>
    </row>
    <row r="50" spans="1:1" ht="15.75">
      <c r="A50" s="35"/>
    </row>
    <row r="51" spans="1:1" ht="15.75">
      <c r="A51" s="35"/>
    </row>
    <row r="52" spans="1:1" ht="15.75">
      <c r="A52" s="35"/>
    </row>
    <row r="53" spans="1:1" ht="15.75">
      <c r="A53" s="35"/>
    </row>
    <row r="54" spans="1:1" ht="15.75">
      <c r="A54" s="35"/>
    </row>
    <row r="55" spans="1:1" ht="15.75">
      <c r="A55" s="35"/>
    </row>
    <row r="56" spans="1:1" ht="15.75">
      <c r="A56" s="35"/>
    </row>
    <row r="57" spans="1:1" ht="15.75">
      <c r="A57" s="35"/>
    </row>
    <row r="58" spans="1:1" ht="15.75">
      <c r="A58" s="35"/>
    </row>
    <row r="59" spans="1:1" ht="15.75">
      <c r="A59" s="35"/>
    </row>
    <row r="60" spans="1:1" ht="15.75">
      <c r="A60" s="35"/>
    </row>
    <row r="61" spans="1:1" ht="15.75">
      <c r="A61" s="35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1DC2-DDC9-414C-9B97-C40922DBE507}">
  <sheetPr>
    <pageSetUpPr fitToPage="1"/>
  </sheetPr>
  <dimension ref="A1:M24"/>
  <sheetViews>
    <sheetView workbookViewId="0">
      <selection activeCell="K7" sqref="K7"/>
    </sheetView>
  </sheetViews>
  <sheetFormatPr defaultRowHeight="15"/>
  <cols>
    <col min="1" max="1" width="7.5703125" style="69" customWidth="1"/>
    <col min="2" max="2" width="20.7109375" bestFit="1" customWidth="1"/>
    <col min="3" max="4" width="20.7109375" customWidth="1"/>
    <col min="5" max="5" width="25.85546875" bestFit="1" customWidth="1"/>
    <col min="6" max="6" width="23.7109375" bestFit="1" customWidth="1"/>
    <col min="7" max="7" width="22.140625" bestFit="1" customWidth="1"/>
    <col min="8" max="8" width="21" bestFit="1" customWidth="1"/>
    <col min="9" max="10" width="17.5703125" bestFit="1" customWidth="1"/>
    <col min="11" max="11" width="20.28515625" customWidth="1"/>
    <col min="12" max="12" width="28.28515625" bestFit="1" customWidth="1"/>
    <col min="14" max="14" width="18.28515625" bestFit="1" customWidth="1"/>
    <col min="15" max="15" width="10.42578125" bestFit="1" customWidth="1"/>
  </cols>
  <sheetData>
    <row r="1" spans="1:13" ht="27" customHeight="1" thickBot="1">
      <c r="A1" s="212" t="s">
        <v>22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4"/>
      <c r="M1" s="104"/>
    </row>
    <row r="2" spans="1:13" ht="24.75" thickBot="1">
      <c r="A2" s="122" t="s">
        <v>23</v>
      </c>
      <c r="B2" s="119" t="s">
        <v>24</v>
      </c>
      <c r="C2" s="119" t="s">
        <v>25</v>
      </c>
      <c r="D2" s="119" t="s">
        <v>26</v>
      </c>
      <c r="E2" s="119" t="s">
        <v>27</v>
      </c>
      <c r="F2" s="119" t="s">
        <v>28</v>
      </c>
      <c r="G2" s="119" t="s">
        <v>29</v>
      </c>
      <c r="H2" s="119" t="s">
        <v>30</v>
      </c>
      <c r="I2" s="119" t="s">
        <v>31</v>
      </c>
      <c r="J2" s="120" t="s">
        <v>32</v>
      </c>
      <c r="K2" s="120" t="s">
        <v>33</v>
      </c>
      <c r="L2" s="121" t="s">
        <v>34</v>
      </c>
      <c r="M2" s="104"/>
    </row>
    <row r="3" spans="1:13" ht="24">
      <c r="A3" s="144">
        <v>1</v>
      </c>
      <c r="B3" s="109" t="s">
        <v>35</v>
      </c>
      <c r="C3" s="139">
        <v>2021</v>
      </c>
      <c r="D3" s="109" t="s">
        <v>36</v>
      </c>
      <c r="E3" s="109" t="s">
        <v>37</v>
      </c>
      <c r="F3" s="109" t="s">
        <v>38</v>
      </c>
      <c r="G3" s="109"/>
      <c r="H3" s="109"/>
      <c r="I3" s="139">
        <v>1300</v>
      </c>
      <c r="J3" s="140"/>
      <c r="K3" s="140">
        <v>1300</v>
      </c>
      <c r="L3" s="113"/>
      <c r="M3" s="104"/>
    </row>
    <row r="4" spans="1:13" ht="24">
      <c r="A4" s="123">
        <v>2</v>
      </c>
      <c r="B4" s="110" t="s">
        <v>39</v>
      </c>
      <c r="C4" s="134">
        <v>2019</v>
      </c>
      <c r="D4" s="72" t="s">
        <v>40</v>
      </c>
      <c r="E4" s="110" t="s">
        <v>41</v>
      </c>
      <c r="F4" s="110" t="s">
        <v>42</v>
      </c>
      <c r="G4" s="110">
        <v>71993671</v>
      </c>
      <c r="H4" s="112">
        <v>46302</v>
      </c>
      <c r="I4" s="134">
        <v>1150</v>
      </c>
      <c r="J4" s="141"/>
      <c r="K4" s="141" t="s">
        <v>43</v>
      </c>
      <c r="L4" s="114"/>
      <c r="M4" s="104"/>
    </row>
    <row r="5" spans="1:13" ht="48">
      <c r="A5" s="123">
        <v>3</v>
      </c>
      <c r="B5" s="146" t="s">
        <v>44</v>
      </c>
      <c r="C5" s="147">
        <v>2017</v>
      </c>
      <c r="D5" s="127" t="s">
        <v>45</v>
      </c>
      <c r="E5" s="146" t="s">
        <v>46</v>
      </c>
      <c r="F5" s="146" t="s">
        <v>47</v>
      </c>
      <c r="G5" s="146">
        <v>33576043</v>
      </c>
      <c r="H5" s="146" t="s">
        <v>48</v>
      </c>
      <c r="I5" s="147">
        <v>1200</v>
      </c>
      <c r="J5" s="148">
        <v>640</v>
      </c>
      <c r="K5" s="149" t="s">
        <v>49</v>
      </c>
      <c r="L5" s="150" t="s">
        <v>50</v>
      </c>
      <c r="M5" s="104"/>
    </row>
    <row r="6" spans="1:13" ht="24">
      <c r="A6" s="123">
        <v>4</v>
      </c>
      <c r="B6" s="146" t="s">
        <v>51</v>
      </c>
      <c r="C6" s="147">
        <v>2012</v>
      </c>
      <c r="D6" s="146" t="s">
        <v>52</v>
      </c>
      <c r="E6" s="146" t="s">
        <v>46</v>
      </c>
      <c r="F6" s="146" t="s">
        <v>53</v>
      </c>
      <c r="G6" s="146">
        <v>52018801</v>
      </c>
      <c r="H6" s="146" t="s">
        <v>54</v>
      </c>
      <c r="I6" s="147">
        <v>1000</v>
      </c>
      <c r="J6" s="148"/>
      <c r="K6" s="148" t="s">
        <v>19</v>
      </c>
      <c r="L6" s="150" t="s">
        <v>55</v>
      </c>
      <c r="M6" s="104"/>
    </row>
    <row r="7" spans="1:13" ht="48">
      <c r="A7" s="123">
        <v>5</v>
      </c>
      <c r="B7" s="146" t="s">
        <v>56</v>
      </c>
      <c r="C7" s="147">
        <v>2013</v>
      </c>
      <c r="D7" s="146">
        <v>724070</v>
      </c>
      <c r="E7" s="146" t="s">
        <v>57</v>
      </c>
      <c r="F7" s="146" t="s">
        <v>58</v>
      </c>
      <c r="G7" s="146" t="s">
        <v>59</v>
      </c>
      <c r="H7" s="151" t="s">
        <v>60</v>
      </c>
      <c r="I7" s="147">
        <v>1200</v>
      </c>
      <c r="J7" s="148"/>
      <c r="K7" s="148" t="s">
        <v>19</v>
      </c>
      <c r="L7" s="150" t="s">
        <v>61</v>
      </c>
      <c r="M7" s="104"/>
    </row>
    <row r="8" spans="1:13" ht="24">
      <c r="A8" s="123">
        <v>6</v>
      </c>
      <c r="B8" s="110" t="s">
        <v>62</v>
      </c>
      <c r="C8" s="134">
        <v>2019</v>
      </c>
      <c r="D8" s="110">
        <v>280636</v>
      </c>
      <c r="E8" s="110" t="s">
        <v>37</v>
      </c>
      <c r="F8" s="110" t="s">
        <v>63</v>
      </c>
      <c r="G8" s="110">
        <v>55593898</v>
      </c>
      <c r="H8" s="112">
        <v>46149</v>
      </c>
      <c r="I8" s="134">
        <v>1300</v>
      </c>
      <c r="J8" s="141"/>
      <c r="K8" s="138"/>
      <c r="L8" s="114"/>
      <c r="M8" s="104"/>
    </row>
    <row r="9" spans="1:13" ht="24">
      <c r="A9" s="123">
        <v>7</v>
      </c>
      <c r="B9" s="146" t="s">
        <v>64</v>
      </c>
      <c r="C9" s="147">
        <v>2014</v>
      </c>
      <c r="D9" s="146">
        <v>294017</v>
      </c>
      <c r="E9" s="146" t="s">
        <v>37</v>
      </c>
      <c r="F9" s="146" t="s">
        <v>65</v>
      </c>
      <c r="G9" s="146" t="s">
        <v>66</v>
      </c>
      <c r="H9" s="146" t="s">
        <v>67</v>
      </c>
      <c r="I9" s="147">
        <v>1200</v>
      </c>
      <c r="J9" s="156"/>
      <c r="K9" s="148" t="s">
        <v>19</v>
      </c>
      <c r="L9" s="157" t="s">
        <v>68</v>
      </c>
      <c r="M9" s="104"/>
    </row>
    <row r="10" spans="1:13" ht="24">
      <c r="A10" s="123">
        <v>8</v>
      </c>
      <c r="B10" s="110" t="s">
        <v>69</v>
      </c>
      <c r="C10" s="134">
        <v>2015</v>
      </c>
      <c r="D10" s="110">
        <v>101232</v>
      </c>
      <c r="E10" s="110" t="s">
        <v>70</v>
      </c>
      <c r="F10" s="110"/>
      <c r="G10" s="110"/>
      <c r="I10" s="134"/>
      <c r="J10" s="141"/>
      <c r="K10" s="138"/>
      <c r="L10" s="114"/>
      <c r="M10" s="104"/>
    </row>
    <row r="11" spans="1:13" ht="24">
      <c r="A11" s="123">
        <v>9</v>
      </c>
      <c r="B11" s="110" t="s">
        <v>71</v>
      </c>
      <c r="C11" s="134">
        <v>2012</v>
      </c>
      <c r="D11" s="134">
        <v>515848</v>
      </c>
      <c r="E11" s="110" t="s">
        <v>72</v>
      </c>
      <c r="F11" s="110" t="s">
        <v>73</v>
      </c>
      <c r="G11" s="110">
        <v>31519726</v>
      </c>
      <c r="H11" s="112">
        <v>46060</v>
      </c>
      <c r="I11" s="134">
        <v>1150</v>
      </c>
      <c r="J11" s="141"/>
      <c r="K11" s="138"/>
      <c r="L11" s="114"/>
      <c r="M11" s="104"/>
    </row>
    <row r="12" spans="1:13" ht="24">
      <c r="A12" s="123">
        <v>10</v>
      </c>
      <c r="B12" s="110" t="s">
        <v>71</v>
      </c>
      <c r="C12" s="134">
        <v>2012</v>
      </c>
      <c r="D12" s="110">
        <v>490219</v>
      </c>
      <c r="E12" s="110" t="s">
        <v>74</v>
      </c>
      <c r="F12" s="110" t="s">
        <v>75</v>
      </c>
      <c r="G12" s="110">
        <v>66439936</v>
      </c>
      <c r="H12" s="145">
        <v>46241</v>
      </c>
      <c r="I12" s="134">
        <v>1200</v>
      </c>
      <c r="J12" s="141"/>
      <c r="K12" s="141"/>
      <c r="L12" s="114"/>
      <c r="M12" s="104"/>
    </row>
    <row r="13" spans="1:13" ht="24">
      <c r="A13" s="123">
        <v>11</v>
      </c>
      <c r="B13" s="136" t="s">
        <v>39</v>
      </c>
      <c r="C13" s="142">
        <v>2012</v>
      </c>
      <c r="D13" s="136">
        <v>235621</v>
      </c>
      <c r="E13" s="136" t="s">
        <v>74</v>
      </c>
      <c r="F13" s="136"/>
      <c r="G13" s="136"/>
      <c r="H13" s="136"/>
      <c r="I13" s="142"/>
      <c r="J13" s="143"/>
      <c r="K13" s="143"/>
      <c r="L13" s="137"/>
      <c r="M13" s="104"/>
    </row>
    <row r="14" spans="1:13" ht="24">
      <c r="A14" s="123">
        <v>12</v>
      </c>
      <c r="B14" s="136"/>
      <c r="C14" s="136"/>
      <c r="D14" s="136"/>
      <c r="E14" s="136"/>
      <c r="F14" s="136"/>
      <c r="G14" s="136"/>
      <c r="H14" s="136"/>
      <c r="I14" s="142"/>
      <c r="J14" s="143"/>
      <c r="K14" s="143"/>
      <c r="L14" s="137"/>
      <c r="M14" s="104"/>
    </row>
    <row r="15" spans="1:13" ht="24">
      <c r="A15" s="123">
        <v>13</v>
      </c>
      <c r="B15" s="136"/>
      <c r="C15" s="136"/>
      <c r="D15" s="136"/>
      <c r="E15" s="136"/>
      <c r="F15" s="136"/>
      <c r="G15" s="136"/>
      <c r="H15" s="136"/>
      <c r="I15" s="142"/>
      <c r="J15" s="143"/>
      <c r="K15" s="143"/>
      <c r="L15" s="137"/>
      <c r="M15" s="104"/>
    </row>
    <row r="16" spans="1:13" ht="27" thickBot="1">
      <c r="A16" s="124"/>
      <c r="B16" s="108"/>
      <c r="C16" s="108"/>
      <c r="D16" s="111"/>
      <c r="E16" s="108"/>
      <c r="F16" s="108"/>
      <c r="G16" s="111"/>
      <c r="H16" s="116" t="s">
        <v>76</v>
      </c>
      <c r="I16" s="117"/>
      <c r="J16" s="118"/>
      <c r="K16" s="135"/>
      <c r="L16" s="115"/>
      <c r="M16" s="104"/>
    </row>
    <row r="17" spans="1:13" ht="18">
      <c r="A17" s="107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</row>
    <row r="18" spans="1:13" ht="18">
      <c r="A18" s="107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</row>
    <row r="19" spans="1:13" ht="18">
      <c r="A19" s="107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</row>
    <row r="20" spans="1:13" ht="18">
      <c r="A20" s="107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</row>
    <row r="21" spans="1:13" ht="18">
      <c r="A21" s="107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</row>
    <row r="22" spans="1:13" ht="18">
      <c r="A22" s="107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</row>
    <row r="23" spans="1:13" ht="18">
      <c r="A23" s="107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</row>
    <row r="24" spans="1:13" ht="18">
      <c r="A24" s="107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</row>
  </sheetData>
  <mergeCells count="1">
    <mergeCell ref="A1:L1"/>
  </mergeCells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28B0-43AD-4D11-83E7-A831CEFE242B}">
  <sheetPr>
    <pageSetUpPr fitToPage="1"/>
  </sheetPr>
  <dimension ref="A1:G14"/>
  <sheetViews>
    <sheetView workbookViewId="0">
      <pane ySplit="3" topLeftCell="A4" activePane="bottomLeft" state="frozen"/>
      <selection pane="bottomLeft" activeCell="F18" sqref="F18"/>
    </sheetView>
  </sheetViews>
  <sheetFormatPr defaultRowHeight="15"/>
  <cols>
    <col min="1" max="1" width="4.28515625" style="33" bestFit="1" customWidth="1"/>
    <col min="2" max="2" width="28.28515625" customWidth="1"/>
    <col min="3" max="3" width="22.28515625" customWidth="1"/>
    <col min="4" max="4" width="18.28515625" bestFit="1" customWidth="1"/>
    <col min="5" max="5" width="20.42578125" style="33" bestFit="1" customWidth="1"/>
    <col min="6" max="6" width="9.28515625" style="33" bestFit="1" customWidth="1"/>
    <col min="7" max="7" width="16.7109375" style="69" bestFit="1" customWidth="1"/>
  </cols>
  <sheetData>
    <row r="1" spans="1:7" ht="23.25">
      <c r="A1" s="215" t="s">
        <v>77</v>
      </c>
      <c r="B1" s="216"/>
      <c r="C1" s="216"/>
      <c r="D1" s="216"/>
      <c r="E1" s="216"/>
      <c r="F1" s="216"/>
      <c r="G1" s="217"/>
    </row>
    <row r="2" spans="1:7" ht="18.75">
      <c r="A2" s="218" t="s">
        <v>78</v>
      </c>
      <c r="B2" s="219"/>
      <c r="C2" s="219"/>
      <c r="D2" s="219"/>
      <c r="E2" s="219"/>
      <c r="F2" s="219"/>
      <c r="G2" s="220"/>
    </row>
    <row r="3" spans="1:7" ht="18.75">
      <c r="A3" s="83" t="s">
        <v>79</v>
      </c>
      <c r="B3" s="84" t="s">
        <v>80</v>
      </c>
      <c r="C3" s="84" t="s">
        <v>81</v>
      </c>
      <c r="D3" s="84" t="s">
        <v>82</v>
      </c>
      <c r="E3" s="85" t="s">
        <v>83</v>
      </c>
      <c r="F3" s="85" t="s">
        <v>84</v>
      </c>
      <c r="G3" s="86" t="s">
        <v>85</v>
      </c>
    </row>
    <row r="4" spans="1:7" ht="18.75">
      <c r="A4" s="87">
        <v>1</v>
      </c>
      <c r="B4" s="73" t="s">
        <v>86</v>
      </c>
      <c r="C4" s="73" t="s">
        <v>87</v>
      </c>
      <c r="D4" s="73" t="s">
        <v>88</v>
      </c>
      <c r="E4" s="72" t="s">
        <v>36</v>
      </c>
      <c r="F4" s="72">
        <v>2021</v>
      </c>
      <c r="G4" s="91" t="s">
        <v>89</v>
      </c>
    </row>
    <row r="5" spans="1:7" ht="18.75">
      <c r="A5" s="87">
        <v>2</v>
      </c>
      <c r="B5" s="126" t="s">
        <v>86</v>
      </c>
      <c r="C5" s="126" t="s">
        <v>90</v>
      </c>
      <c r="D5" s="126" t="s">
        <v>91</v>
      </c>
      <c r="E5" s="127" t="s">
        <v>92</v>
      </c>
      <c r="F5" s="127">
        <v>2012</v>
      </c>
      <c r="G5" s="91" t="s">
        <v>93</v>
      </c>
    </row>
    <row r="6" spans="1:7" ht="18.75">
      <c r="A6" s="87">
        <v>3</v>
      </c>
      <c r="B6" s="126" t="s">
        <v>94</v>
      </c>
      <c r="C6" s="126" t="s">
        <v>90</v>
      </c>
      <c r="D6" s="126" t="s">
        <v>95</v>
      </c>
      <c r="E6" s="127" t="s">
        <v>96</v>
      </c>
      <c r="F6" s="127">
        <v>2018</v>
      </c>
      <c r="G6" s="75" t="s">
        <v>97</v>
      </c>
    </row>
    <row r="7" spans="1:7" ht="18.75">
      <c r="A7" s="87">
        <v>4</v>
      </c>
      <c r="B7" s="73" t="s">
        <v>98</v>
      </c>
      <c r="C7" s="73" t="s">
        <v>87</v>
      </c>
      <c r="D7" s="73" t="s">
        <v>95</v>
      </c>
      <c r="E7" s="72" t="s">
        <v>40</v>
      </c>
      <c r="F7" s="72">
        <v>2019</v>
      </c>
      <c r="G7" s="76">
        <v>46661</v>
      </c>
    </row>
    <row r="8" spans="1:7" ht="18.75">
      <c r="A8" s="87">
        <v>5</v>
      </c>
      <c r="B8" s="73" t="s">
        <v>99</v>
      </c>
      <c r="C8" s="73" t="s">
        <v>87</v>
      </c>
      <c r="D8" s="73" t="s">
        <v>91</v>
      </c>
      <c r="E8" s="72" t="s">
        <v>45</v>
      </c>
      <c r="F8" s="72">
        <v>2017</v>
      </c>
      <c r="G8" s="90">
        <v>46210</v>
      </c>
    </row>
    <row r="9" spans="1:7" ht="18.75">
      <c r="A9" s="87">
        <v>6</v>
      </c>
      <c r="B9" s="73" t="s">
        <v>99</v>
      </c>
      <c r="C9" s="73" t="s">
        <v>87</v>
      </c>
      <c r="D9" s="73" t="s">
        <v>100</v>
      </c>
      <c r="E9" s="72" t="s">
        <v>52</v>
      </c>
      <c r="F9" s="72">
        <v>2012</v>
      </c>
      <c r="G9" s="76">
        <v>46448</v>
      </c>
    </row>
    <row r="10" spans="1:7" ht="18.75">
      <c r="A10" s="87">
        <v>7</v>
      </c>
      <c r="B10" s="73" t="s">
        <v>101</v>
      </c>
      <c r="C10" s="73" t="s">
        <v>87</v>
      </c>
      <c r="D10" s="73" t="s">
        <v>102</v>
      </c>
      <c r="E10" s="72">
        <v>724070</v>
      </c>
      <c r="F10" s="72">
        <v>2017</v>
      </c>
      <c r="G10" s="75" t="s">
        <v>103</v>
      </c>
    </row>
    <row r="11" spans="1:7" ht="18.75">
      <c r="A11" s="87">
        <v>8</v>
      </c>
      <c r="B11" s="73" t="s">
        <v>86</v>
      </c>
      <c r="C11" s="73" t="s">
        <v>87</v>
      </c>
      <c r="D11" s="73" t="s">
        <v>104</v>
      </c>
      <c r="E11" s="72">
        <v>280636</v>
      </c>
      <c r="F11" s="72">
        <v>2023</v>
      </c>
      <c r="G11" s="76">
        <v>46032</v>
      </c>
    </row>
    <row r="12" spans="1:7" ht="18.75">
      <c r="A12" s="88">
        <v>9</v>
      </c>
      <c r="B12" s="80"/>
      <c r="C12" s="80"/>
      <c r="D12" s="80"/>
      <c r="E12" s="81"/>
      <c r="F12" s="81"/>
      <c r="G12" s="82"/>
    </row>
    <row r="13" spans="1:7" ht="19.5" thickBot="1">
      <c r="A13" s="89">
        <v>10</v>
      </c>
      <c r="B13" s="74"/>
      <c r="C13" s="74"/>
      <c r="D13" s="74"/>
      <c r="E13" s="79"/>
      <c r="F13" s="79"/>
      <c r="G13" s="77"/>
    </row>
    <row r="14" spans="1:7" ht="18.75">
      <c r="A14" s="70"/>
      <c r="B14" s="71"/>
      <c r="C14" s="71"/>
      <c r="D14" s="71"/>
      <c r="E14" s="70"/>
      <c r="F14" s="70"/>
      <c r="G14" s="78"/>
    </row>
  </sheetData>
  <mergeCells count="2">
    <mergeCell ref="A1:G1"/>
    <mergeCell ref="A2:G2"/>
  </mergeCells>
  <pageMargins left="0.7" right="0.7" top="0.75" bottom="0.75" header="0.3" footer="0.3"/>
  <pageSetup paperSize="9" scale="7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6126-5CD1-42F3-A42F-F9DF8D30C0C4}">
  <sheetPr>
    <pageSetUpPr fitToPage="1"/>
  </sheetPr>
  <dimension ref="A1:M57"/>
  <sheetViews>
    <sheetView zoomScale="85" zoomScaleNormal="85" workbookViewId="0">
      <pane ySplit="3" topLeftCell="A4" activePane="bottomLeft" state="frozen"/>
      <selection pane="bottomLeft" activeCell="D24" sqref="D24"/>
    </sheetView>
  </sheetViews>
  <sheetFormatPr defaultRowHeight="15"/>
  <cols>
    <col min="1" max="1" width="4.42578125" bestFit="1" customWidth="1"/>
    <col min="2" max="2" width="14.5703125" customWidth="1"/>
    <col min="3" max="3" width="39.85546875" bestFit="1" customWidth="1"/>
    <col min="4" max="4" width="14.42578125" bestFit="1" customWidth="1"/>
    <col min="5" max="5" width="25.85546875" bestFit="1" customWidth="1"/>
    <col min="13" max="13" width="9.85546875" bestFit="1" customWidth="1"/>
    <col min="14" max="14" width="9.7109375" bestFit="1" customWidth="1"/>
    <col min="15" max="15" width="9.85546875" bestFit="1" customWidth="1"/>
  </cols>
  <sheetData>
    <row r="1" spans="1:11" ht="27" customHeight="1">
      <c r="A1" s="221" t="s">
        <v>77</v>
      </c>
      <c r="B1" s="222"/>
      <c r="C1" s="222"/>
      <c r="D1" s="222"/>
      <c r="E1" s="223"/>
      <c r="F1" s="23"/>
      <c r="G1" s="23"/>
      <c r="H1" s="23"/>
      <c r="I1" s="23"/>
      <c r="J1" s="22"/>
      <c r="K1" s="22"/>
    </row>
    <row r="2" spans="1:11" ht="27" customHeight="1">
      <c r="A2" s="224" t="s">
        <v>105</v>
      </c>
      <c r="B2" s="225"/>
      <c r="C2" s="225"/>
      <c r="D2" s="225"/>
      <c r="E2" s="226"/>
      <c r="F2" s="23"/>
      <c r="G2" s="23"/>
      <c r="H2" s="23"/>
      <c r="I2" s="23"/>
      <c r="J2" s="22"/>
      <c r="K2" s="22"/>
    </row>
    <row r="3" spans="1:11" ht="18.75">
      <c r="A3" s="28" t="s">
        <v>106</v>
      </c>
      <c r="B3" s="29" t="s">
        <v>107</v>
      </c>
      <c r="C3" s="29" t="s">
        <v>108</v>
      </c>
      <c r="D3" s="29" t="s">
        <v>109</v>
      </c>
      <c r="E3" s="30" t="s">
        <v>110</v>
      </c>
      <c r="F3" s="24"/>
      <c r="G3" s="24"/>
      <c r="H3" s="24"/>
      <c r="I3" s="23"/>
      <c r="J3" s="22"/>
      <c r="K3" s="22"/>
    </row>
    <row r="4" spans="1:11" ht="20.25" customHeight="1">
      <c r="A4" s="1">
        <v>1</v>
      </c>
      <c r="B4" s="160">
        <v>46024</v>
      </c>
      <c r="C4" s="161" t="s">
        <v>111</v>
      </c>
      <c r="D4" s="162">
        <v>3000</v>
      </c>
      <c r="E4" s="163"/>
      <c r="F4" s="24"/>
      <c r="G4" s="24"/>
      <c r="H4" s="24"/>
      <c r="I4" s="23"/>
      <c r="J4" s="22"/>
      <c r="K4" s="22"/>
    </row>
    <row r="5" spans="1:11" ht="20.25" customHeight="1">
      <c r="A5" s="1">
        <v>2</v>
      </c>
      <c r="B5" s="160">
        <v>46024</v>
      </c>
      <c r="C5" s="161" t="s">
        <v>112</v>
      </c>
      <c r="D5" s="162">
        <v>3000</v>
      </c>
      <c r="E5" s="164"/>
      <c r="F5" s="24"/>
      <c r="G5" s="24"/>
      <c r="H5" s="24"/>
      <c r="I5" s="23"/>
      <c r="J5" s="22"/>
      <c r="K5" s="22"/>
    </row>
    <row r="6" spans="1:11" ht="20.25" customHeight="1">
      <c r="A6" s="1">
        <v>3</v>
      </c>
      <c r="B6" s="160">
        <v>46024</v>
      </c>
      <c r="C6" s="161" t="s">
        <v>113</v>
      </c>
      <c r="D6" s="165">
        <v>3000</v>
      </c>
      <c r="E6" s="166"/>
      <c r="F6" s="24"/>
      <c r="G6" s="24"/>
      <c r="H6" s="24"/>
      <c r="I6" s="23"/>
      <c r="J6" s="22"/>
      <c r="K6" s="22"/>
    </row>
    <row r="7" spans="1:11" ht="20.25" customHeight="1">
      <c r="A7" s="1">
        <v>4</v>
      </c>
      <c r="B7" s="160">
        <v>46024</v>
      </c>
      <c r="C7" s="161" t="s">
        <v>114</v>
      </c>
      <c r="D7" s="167">
        <v>2500</v>
      </c>
      <c r="E7" s="166" t="s">
        <v>115</v>
      </c>
      <c r="F7" s="24"/>
      <c r="G7" s="24"/>
      <c r="H7" s="24"/>
      <c r="I7" s="23"/>
      <c r="J7" s="22"/>
      <c r="K7" s="22"/>
    </row>
    <row r="8" spans="1:11" ht="18.75">
      <c r="A8" s="1">
        <v>5</v>
      </c>
      <c r="B8" s="160">
        <v>46024</v>
      </c>
      <c r="C8" s="161" t="s">
        <v>116</v>
      </c>
      <c r="D8" s="167">
        <v>2500</v>
      </c>
      <c r="E8" s="166" t="s">
        <v>115</v>
      </c>
      <c r="F8" s="24"/>
      <c r="G8" s="24"/>
      <c r="H8" s="24"/>
      <c r="I8" s="23"/>
      <c r="J8" s="22"/>
      <c r="K8" s="22"/>
    </row>
    <row r="9" spans="1:11" ht="18.75">
      <c r="A9" s="1">
        <v>6</v>
      </c>
      <c r="B9" s="160">
        <v>46028</v>
      </c>
      <c r="C9" s="171" t="s">
        <v>117</v>
      </c>
      <c r="D9" s="165">
        <v>3000</v>
      </c>
      <c r="E9" s="166"/>
      <c r="F9" s="24"/>
      <c r="G9" s="24"/>
      <c r="H9" s="24"/>
      <c r="I9" s="23"/>
      <c r="J9" s="22"/>
      <c r="K9" s="22"/>
    </row>
    <row r="10" spans="1:11" ht="21.75" customHeight="1">
      <c r="A10" s="1">
        <v>7</v>
      </c>
      <c r="B10" s="160">
        <v>46024</v>
      </c>
      <c r="C10" s="168" t="s">
        <v>118</v>
      </c>
      <c r="D10" s="167">
        <v>2000</v>
      </c>
      <c r="E10" s="166" t="s">
        <v>119</v>
      </c>
      <c r="F10" s="24"/>
      <c r="G10" s="24"/>
      <c r="H10" s="24"/>
      <c r="I10" s="23"/>
      <c r="J10" s="22"/>
      <c r="K10" s="22"/>
    </row>
    <row r="11" spans="1:11" ht="20.25" customHeight="1">
      <c r="A11" s="1">
        <v>8</v>
      </c>
      <c r="B11" s="160">
        <v>46024</v>
      </c>
      <c r="C11" s="161" t="s">
        <v>120</v>
      </c>
      <c r="D11" s="162">
        <v>3000</v>
      </c>
      <c r="E11" s="169"/>
      <c r="F11" s="24"/>
      <c r="G11" s="24"/>
      <c r="H11" s="24"/>
      <c r="I11" s="23"/>
      <c r="J11" s="22"/>
      <c r="K11" s="22"/>
    </row>
    <row r="12" spans="1:11" ht="20.25" customHeight="1">
      <c r="A12" s="1">
        <v>9</v>
      </c>
      <c r="B12" s="160">
        <v>46024</v>
      </c>
      <c r="C12" s="161" t="s">
        <v>121</v>
      </c>
      <c r="D12" s="162">
        <v>3000</v>
      </c>
      <c r="E12" s="169"/>
      <c r="F12" s="24"/>
      <c r="G12" s="24"/>
      <c r="H12" s="24"/>
      <c r="I12" s="23"/>
      <c r="J12" s="22"/>
      <c r="K12" s="22"/>
    </row>
    <row r="13" spans="1:11" ht="20.25" customHeight="1">
      <c r="A13" s="1">
        <v>10</v>
      </c>
      <c r="B13" s="160">
        <v>46024</v>
      </c>
      <c r="C13" s="161" t="s">
        <v>122</v>
      </c>
      <c r="D13" s="162">
        <v>3000</v>
      </c>
      <c r="E13" s="169"/>
      <c r="F13" s="24"/>
      <c r="G13" s="24"/>
      <c r="H13" s="24"/>
      <c r="I13" s="23"/>
      <c r="J13" s="22"/>
      <c r="K13" s="22"/>
    </row>
    <row r="14" spans="1:11" ht="20.25" customHeight="1">
      <c r="A14" s="1">
        <v>11</v>
      </c>
      <c r="B14" s="160">
        <v>46026</v>
      </c>
      <c r="C14" s="161" t="s">
        <v>123</v>
      </c>
      <c r="D14" s="162">
        <v>3000</v>
      </c>
      <c r="E14" s="169"/>
      <c r="F14" s="24"/>
      <c r="G14" s="24"/>
      <c r="H14" s="24"/>
      <c r="I14" s="23"/>
      <c r="J14" s="22"/>
      <c r="K14" s="22"/>
    </row>
    <row r="15" spans="1:11" ht="20.25" customHeight="1">
      <c r="A15" s="1">
        <v>12</v>
      </c>
      <c r="B15" s="160">
        <v>46026</v>
      </c>
      <c r="C15" s="161" t="s">
        <v>124</v>
      </c>
      <c r="D15" s="165">
        <v>6000</v>
      </c>
      <c r="E15" s="169"/>
      <c r="F15" s="24"/>
      <c r="G15" s="24"/>
      <c r="H15" s="24"/>
      <c r="I15" s="23"/>
      <c r="J15" s="22"/>
      <c r="K15" s="22"/>
    </row>
    <row r="16" spans="1:11" ht="20.25" customHeight="1">
      <c r="A16" s="1">
        <v>13</v>
      </c>
      <c r="B16" s="160">
        <v>46026</v>
      </c>
      <c r="C16" s="161" t="s">
        <v>125</v>
      </c>
      <c r="D16" s="162">
        <v>3000</v>
      </c>
      <c r="E16" s="169"/>
      <c r="F16" s="24"/>
      <c r="G16" s="24"/>
      <c r="H16" s="24"/>
      <c r="I16" s="23"/>
      <c r="J16" s="22"/>
      <c r="K16" s="22"/>
    </row>
    <row r="17" spans="1:11" ht="20.25" customHeight="1">
      <c r="A17" s="1">
        <v>14</v>
      </c>
      <c r="B17" s="160">
        <v>46026</v>
      </c>
      <c r="C17" s="161" t="s">
        <v>126</v>
      </c>
      <c r="D17" s="162">
        <v>3000</v>
      </c>
      <c r="E17" s="169"/>
      <c r="F17" s="24"/>
      <c r="G17" s="24"/>
      <c r="H17" s="24"/>
      <c r="I17" s="23"/>
      <c r="J17" s="22"/>
      <c r="K17" s="22"/>
    </row>
    <row r="18" spans="1:11" ht="20.25" customHeight="1">
      <c r="A18" s="1">
        <v>15</v>
      </c>
      <c r="B18" s="160">
        <v>46026</v>
      </c>
      <c r="C18" s="161" t="s">
        <v>127</v>
      </c>
      <c r="D18" s="165">
        <v>12000</v>
      </c>
      <c r="E18" s="170"/>
      <c r="F18" s="24"/>
      <c r="G18" s="24"/>
      <c r="H18" s="24"/>
      <c r="I18" s="23"/>
      <c r="J18" s="22"/>
      <c r="K18" s="22"/>
    </row>
    <row r="19" spans="1:11" ht="20.25" customHeight="1">
      <c r="A19" s="1">
        <v>16</v>
      </c>
      <c r="B19" s="160">
        <v>46026</v>
      </c>
      <c r="C19" s="161" t="s">
        <v>128</v>
      </c>
      <c r="D19" s="165">
        <v>3000</v>
      </c>
      <c r="E19" s="169"/>
      <c r="F19" s="24"/>
      <c r="G19" s="24"/>
      <c r="H19" s="24"/>
      <c r="I19" s="23"/>
      <c r="J19" s="22"/>
      <c r="K19" s="22"/>
    </row>
    <row r="20" spans="1:11" ht="20.25" customHeight="1">
      <c r="A20" s="1">
        <v>17</v>
      </c>
      <c r="B20" s="160">
        <v>46027</v>
      </c>
      <c r="C20" s="161" t="s">
        <v>129</v>
      </c>
      <c r="D20" s="165">
        <v>3000</v>
      </c>
      <c r="E20" s="166"/>
      <c r="F20" s="24"/>
      <c r="G20" s="24"/>
      <c r="H20" s="24"/>
      <c r="I20" s="23"/>
      <c r="J20" s="22"/>
      <c r="K20" s="22"/>
    </row>
    <row r="21" spans="1:11" ht="20.25" customHeight="1">
      <c r="A21" s="1">
        <v>18</v>
      </c>
      <c r="B21" s="160">
        <v>46027</v>
      </c>
      <c r="C21" s="161" t="s">
        <v>130</v>
      </c>
      <c r="D21" s="165">
        <v>3000</v>
      </c>
      <c r="E21" s="166"/>
      <c r="F21" s="24"/>
      <c r="G21" s="24"/>
      <c r="H21" s="24"/>
      <c r="I21" s="23"/>
      <c r="J21" s="22"/>
      <c r="K21" s="22"/>
    </row>
    <row r="22" spans="1:11" ht="20.25" customHeight="1">
      <c r="A22" s="1">
        <v>19</v>
      </c>
      <c r="B22" s="160">
        <v>46027</v>
      </c>
      <c r="C22" s="161" t="s">
        <v>131</v>
      </c>
      <c r="D22" s="165">
        <v>3000</v>
      </c>
      <c r="E22" s="169"/>
      <c r="F22" s="24"/>
      <c r="G22" s="24"/>
      <c r="H22" s="24"/>
      <c r="I22" s="23"/>
      <c r="J22" s="22"/>
      <c r="K22" s="22"/>
    </row>
    <row r="23" spans="1:11" ht="20.25" customHeight="1">
      <c r="A23" s="1">
        <v>20</v>
      </c>
      <c r="B23" s="160">
        <v>46027</v>
      </c>
      <c r="C23" s="161" t="s">
        <v>132</v>
      </c>
      <c r="D23" s="165">
        <v>3000</v>
      </c>
      <c r="E23" s="169"/>
      <c r="F23" s="24"/>
      <c r="G23" s="24"/>
      <c r="H23" s="24"/>
      <c r="I23" s="23"/>
      <c r="J23" s="22"/>
      <c r="K23" s="22"/>
    </row>
    <row r="24" spans="1:11" ht="20.25" customHeight="1">
      <c r="A24" s="1">
        <v>21</v>
      </c>
      <c r="B24" s="160">
        <v>46027</v>
      </c>
      <c r="C24" s="161" t="s">
        <v>133</v>
      </c>
      <c r="D24" s="165">
        <v>5000</v>
      </c>
      <c r="E24" s="166"/>
      <c r="F24" s="24"/>
      <c r="G24" s="24"/>
      <c r="H24" s="24"/>
      <c r="I24" s="23"/>
      <c r="J24" s="22"/>
      <c r="K24" s="22"/>
    </row>
    <row r="25" spans="1:11" ht="20.25" customHeight="1">
      <c r="A25" s="1">
        <v>22</v>
      </c>
      <c r="B25" s="160">
        <v>46027</v>
      </c>
      <c r="C25" s="161" t="s">
        <v>134</v>
      </c>
      <c r="D25" s="165">
        <v>3000</v>
      </c>
      <c r="E25" s="170"/>
      <c r="F25" s="24"/>
      <c r="G25" s="24"/>
      <c r="H25" s="24"/>
      <c r="I25" s="23"/>
      <c r="J25" s="22"/>
      <c r="K25" s="22"/>
    </row>
    <row r="26" spans="1:11" ht="20.25" customHeight="1">
      <c r="A26" s="1">
        <v>23</v>
      </c>
      <c r="B26" s="160">
        <v>46027</v>
      </c>
      <c r="C26" s="161" t="s">
        <v>135</v>
      </c>
      <c r="D26" s="165">
        <v>3000</v>
      </c>
      <c r="E26" s="170"/>
      <c r="F26" s="24"/>
      <c r="G26" s="24"/>
      <c r="H26" s="24"/>
      <c r="I26" s="23"/>
      <c r="J26" s="22"/>
      <c r="K26" s="22"/>
    </row>
    <row r="27" spans="1:11" ht="20.25" customHeight="1">
      <c r="A27" s="1">
        <v>24</v>
      </c>
      <c r="B27" s="160">
        <v>46026</v>
      </c>
      <c r="C27" s="171" t="s">
        <v>136</v>
      </c>
      <c r="D27" s="165">
        <v>3000</v>
      </c>
      <c r="E27" s="172"/>
      <c r="F27" s="24"/>
      <c r="G27" s="24"/>
      <c r="H27" s="24"/>
      <c r="I27" s="23"/>
      <c r="J27" s="22"/>
      <c r="K27" s="22"/>
    </row>
    <row r="28" spans="1:11" ht="20.25" customHeight="1">
      <c r="A28" s="1">
        <v>25</v>
      </c>
      <c r="B28" s="160">
        <v>46027</v>
      </c>
      <c r="C28" s="161" t="s">
        <v>137</v>
      </c>
      <c r="D28" s="165">
        <v>3000</v>
      </c>
      <c r="E28" s="172"/>
      <c r="F28" s="24"/>
      <c r="G28" s="24"/>
      <c r="H28" s="24"/>
      <c r="I28" s="23"/>
      <c r="J28" s="22"/>
      <c r="K28" s="22"/>
    </row>
    <row r="29" spans="1:11" ht="20.25" customHeight="1">
      <c r="A29" s="1">
        <v>26</v>
      </c>
      <c r="B29" s="173">
        <v>46027</v>
      </c>
      <c r="C29" s="161" t="s">
        <v>138</v>
      </c>
      <c r="D29" s="162">
        <v>3000</v>
      </c>
      <c r="E29" s="169"/>
      <c r="F29" s="24"/>
      <c r="G29" s="24"/>
      <c r="H29" s="24"/>
      <c r="I29" s="23"/>
      <c r="J29" s="22"/>
      <c r="K29" s="22"/>
    </row>
    <row r="30" spans="1:11" ht="20.25" customHeight="1">
      <c r="A30" s="1">
        <v>27</v>
      </c>
      <c r="B30" s="173">
        <v>46027</v>
      </c>
      <c r="C30" s="161" t="s">
        <v>139</v>
      </c>
      <c r="D30" s="162">
        <v>3000</v>
      </c>
      <c r="E30" s="169"/>
      <c r="F30" s="24"/>
      <c r="G30" s="24"/>
      <c r="H30" s="24"/>
      <c r="I30" s="23"/>
      <c r="J30" s="22"/>
      <c r="K30" s="22"/>
    </row>
    <row r="31" spans="1:11" ht="20.25" customHeight="1">
      <c r="A31" s="1">
        <v>28</v>
      </c>
      <c r="B31" s="173">
        <v>46300</v>
      </c>
      <c r="C31" s="161" t="s">
        <v>140</v>
      </c>
      <c r="D31" s="162">
        <v>3000</v>
      </c>
      <c r="E31" s="169"/>
      <c r="F31" s="24"/>
      <c r="G31" s="24"/>
      <c r="H31" s="24"/>
      <c r="I31" s="23"/>
      <c r="J31" s="22"/>
      <c r="K31" s="22"/>
    </row>
    <row r="32" spans="1:11" ht="20.25" customHeight="1">
      <c r="A32" s="1">
        <v>29</v>
      </c>
      <c r="B32" s="173">
        <v>46300</v>
      </c>
      <c r="C32" s="66" t="s">
        <v>141</v>
      </c>
      <c r="D32" s="67">
        <v>3000</v>
      </c>
      <c r="E32" s="169"/>
      <c r="F32" s="24"/>
      <c r="G32" s="24"/>
      <c r="H32" s="24"/>
      <c r="I32" s="23"/>
      <c r="J32" s="22"/>
      <c r="K32" s="22"/>
    </row>
    <row r="33" spans="1:13" ht="20.25" customHeight="1">
      <c r="A33" s="1">
        <v>30</v>
      </c>
      <c r="B33" s="173">
        <v>46300</v>
      </c>
      <c r="C33" s="66" t="s">
        <v>142</v>
      </c>
      <c r="D33" s="67">
        <v>3000</v>
      </c>
      <c r="E33" s="169"/>
      <c r="F33" s="24"/>
      <c r="G33" s="24"/>
      <c r="H33" s="24"/>
      <c r="I33" s="23"/>
      <c r="J33" s="22"/>
      <c r="K33" s="22"/>
    </row>
    <row r="34" spans="1:13" ht="20.25" customHeight="1">
      <c r="A34" s="1">
        <v>31</v>
      </c>
      <c r="B34" s="68">
        <v>46028</v>
      </c>
      <c r="C34" s="66" t="s">
        <v>143</v>
      </c>
      <c r="D34" s="67">
        <v>3000</v>
      </c>
      <c r="E34" s="130"/>
      <c r="F34" s="24"/>
      <c r="G34" s="24"/>
      <c r="H34" s="24"/>
      <c r="I34" s="23"/>
      <c r="J34" s="22"/>
      <c r="K34" s="22"/>
    </row>
    <row r="35" spans="1:13" ht="20.25" customHeight="1">
      <c r="A35" s="1">
        <v>32</v>
      </c>
      <c r="B35" s="68">
        <v>46028</v>
      </c>
      <c r="C35" s="66" t="s">
        <v>144</v>
      </c>
      <c r="D35" s="67">
        <v>3000</v>
      </c>
      <c r="E35" s="130"/>
      <c r="F35" s="24"/>
      <c r="G35" s="24"/>
      <c r="H35" s="24"/>
      <c r="I35" s="23"/>
      <c r="J35" s="22"/>
      <c r="K35" s="22"/>
    </row>
    <row r="36" spans="1:13" ht="20.25" customHeight="1">
      <c r="A36" s="1">
        <v>33</v>
      </c>
      <c r="B36" s="68">
        <v>46028</v>
      </c>
      <c r="C36" s="66" t="s">
        <v>145</v>
      </c>
      <c r="D36" s="67">
        <v>3000</v>
      </c>
      <c r="E36" s="130"/>
      <c r="F36" s="24"/>
      <c r="G36" s="24"/>
      <c r="H36" s="24"/>
      <c r="I36" s="23"/>
      <c r="J36" s="22"/>
      <c r="K36" s="22"/>
    </row>
    <row r="37" spans="1:13" ht="20.25" customHeight="1">
      <c r="A37" s="1">
        <v>34</v>
      </c>
      <c r="B37" s="68">
        <v>46028</v>
      </c>
      <c r="C37" s="66" t="s">
        <v>146</v>
      </c>
      <c r="D37" s="67">
        <v>3000</v>
      </c>
      <c r="E37" s="130"/>
      <c r="F37" s="24"/>
      <c r="G37" s="24"/>
      <c r="H37" s="24"/>
      <c r="I37" s="23"/>
      <c r="J37" s="22"/>
      <c r="K37" s="22"/>
    </row>
    <row r="38" spans="1:13" ht="20.25" customHeight="1">
      <c r="A38" s="1">
        <v>35</v>
      </c>
      <c r="B38" s="68">
        <v>46028</v>
      </c>
      <c r="C38" s="66" t="s">
        <v>147</v>
      </c>
      <c r="D38" s="67">
        <v>3000</v>
      </c>
      <c r="E38" s="130"/>
      <c r="F38" s="24"/>
      <c r="G38" s="24"/>
      <c r="H38" s="24"/>
      <c r="I38" s="23"/>
      <c r="J38" s="22"/>
      <c r="K38" s="22"/>
    </row>
    <row r="39" spans="1:13" ht="20.25" customHeight="1">
      <c r="A39" s="1">
        <v>36</v>
      </c>
      <c r="B39" s="68">
        <v>46028</v>
      </c>
      <c r="C39" s="66" t="s">
        <v>148</v>
      </c>
      <c r="D39" s="67">
        <v>3000</v>
      </c>
      <c r="E39" s="130"/>
      <c r="F39" s="24"/>
      <c r="G39" s="24"/>
      <c r="H39" s="24"/>
      <c r="I39" s="23"/>
      <c r="J39" s="22"/>
      <c r="K39" s="22"/>
    </row>
    <row r="40" spans="1:13" ht="20.25" customHeight="1">
      <c r="A40" s="1">
        <v>37</v>
      </c>
      <c r="B40" s="68">
        <v>46028</v>
      </c>
      <c r="C40" s="66" t="s">
        <v>149</v>
      </c>
      <c r="D40" s="67">
        <v>3000</v>
      </c>
      <c r="E40" s="130"/>
      <c r="F40" s="24"/>
      <c r="G40" s="24"/>
      <c r="H40" s="24"/>
      <c r="I40" s="23"/>
      <c r="J40" s="22"/>
      <c r="K40" s="22"/>
    </row>
    <row r="41" spans="1:13" ht="20.25" customHeight="1">
      <c r="A41" s="1">
        <v>38</v>
      </c>
      <c r="B41" s="68">
        <v>46028</v>
      </c>
      <c r="C41" s="66" t="s">
        <v>150</v>
      </c>
      <c r="D41" s="67">
        <v>3000</v>
      </c>
      <c r="E41" s="130"/>
      <c r="F41" s="24"/>
      <c r="G41" s="24"/>
      <c r="H41" s="24"/>
      <c r="I41" s="23"/>
      <c r="J41" s="22"/>
      <c r="K41" s="22"/>
    </row>
    <row r="42" spans="1:13" ht="20.25" customHeight="1">
      <c r="A42" s="1">
        <v>39</v>
      </c>
      <c r="B42" s="68">
        <v>46028</v>
      </c>
      <c r="C42" s="66" t="s">
        <v>151</v>
      </c>
      <c r="D42" s="67">
        <v>3000</v>
      </c>
      <c r="E42" s="130"/>
      <c r="F42" s="24"/>
      <c r="G42" s="24"/>
      <c r="H42" s="24"/>
      <c r="I42" s="23"/>
      <c r="J42" s="22"/>
      <c r="K42" s="22"/>
    </row>
    <row r="43" spans="1:13" ht="20.25" customHeight="1">
      <c r="A43" s="1">
        <v>40</v>
      </c>
      <c r="B43" s="68">
        <v>46029</v>
      </c>
      <c r="C43" s="66" t="s">
        <v>152</v>
      </c>
      <c r="D43" s="67">
        <v>3000</v>
      </c>
      <c r="E43" s="130"/>
      <c r="F43" s="24"/>
      <c r="G43" s="24"/>
      <c r="H43" s="24"/>
      <c r="I43" s="23"/>
      <c r="J43" s="22"/>
      <c r="K43" s="22"/>
    </row>
    <row r="44" spans="1:13" ht="20.25" customHeight="1">
      <c r="A44" s="1">
        <v>41</v>
      </c>
      <c r="B44" s="68">
        <v>46029</v>
      </c>
      <c r="C44" s="66" t="s">
        <v>153</v>
      </c>
      <c r="D44" s="67">
        <v>3000</v>
      </c>
      <c r="E44" s="130"/>
      <c r="F44" s="24"/>
      <c r="G44" s="24"/>
      <c r="H44" s="24"/>
      <c r="I44" s="23"/>
      <c r="J44" s="22"/>
      <c r="K44" s="22"/>
      <c r="M44" s="189"/>
    </row>
    <row r="45" spans="1:13" ht="20.25" customHeight="1">
      <c r="A45" s="1">
        <v>42</v>
      </c>
      <c r="B45" s="68">
        <v>46029</v>
      </c>
      <c r="C45" s="66" t="s">
        <v>154</v>
      </c>
      <c r="D45" s="67">
        <v>3000</v>
      </c>
      <c r="E45" s="130"/>
      <c r="F45" s="24"/>
      <c r="G45" s="24"/>
      <c r="H45" s="24"/>
      <c r="I45" s="23"/>
      <c r="J45" s="22"/>
      <c r="K45" s="22"/>
      <c r="M45" s="190"/>
    </row>
    <row r="46" spans="1:13" ht="20.25" customHeight="1">
      <c r="A46" s="1">
        <v>43</v>
      </c>
      <c r="B46" s="68">
        <v>46029</v>
      </c>
      <c r="C46" s="66" t="s">
        <v>155</v>
      </c>
      <c r="D46" s="67">
        <v>3000</v>
      </c>
      <c r="E46" s="130"/>
      <c r="F46" s="24"/>
      <c r="G46" s="24"/>
      <c r="H46" s="24"/>
      <c r="I46" s="23"/>
      <c r="J46" s="22"/>
      <c r="K46" s="22"/>
      <c r="M46" s="189"/>
    </row>
    <row r="47" spans="1:13" ht="20.25" customHeight="1">
      <c r="A47" s="1">
        <v>44</v>
      </c>
      <c r="B47" s="68">
        <v>46029</v>
      </c>
      <c r="C47" s="66" t="s">
        <v>156</v>
      </c>
      <c r="D47" s="67">
        <v>3000</v>
      </c>
      <c r="E47" s="130"/>
      <c r="F47" s="24"/>
      <c r="G47" s="24"/>
      <c r="H47" s="24"/>
      <c r="I47" s="23"/>
      <c r="J47" s="22"/>
      <c r="K47" s="22"/>
    </row>
    <row r="48" spans="1:13" ht="20.25" customHeight="1">
      <c r="A48" s="1">
        <v>45</v>
      </c>
      <c r="B48" s="68">
        <v>46029</v>
      </c>
      <c r="C48" s="66" t="s">
        <v>157</v>
      </c>
      <c r="D48" s="178">
        <v>6000</v>
      </c>
      <c r="E48" s="130"/>
      <c r="F48" s="24"/>
      <c r="G48" s="24"/>
      <c r="H48" s="24"/>
      <c r="I48" s="23"/>
      <c r="J48" s="22"/>
      <c r="K48" s="22"/>
    </row>
    <row r="49" spans="1:11" ht="19.5" thickBot="1">
      <c r="A49" s="26"/>
      <c r="B49" s="27"/>
      <c r="C49" s="31" t="s">
        <v>158</v>
      </c>
      <c r="D49" s="32">
        <f>SUM(D4:D48)</f>
        <v>150000</v>
      </c>
      <c r="E49" s="105">
        <f>SUM(E4:E31)</f>
        <v>0</v>
      </c>
      <c r="F49" s="23"/>
      <c r="G49" s="23"/>
      <c r="H49" s="23"/>
      <c r="I49" s="23"/>
      <c r="J49" s="22"/>
      <c r="K49" s="22"/>
    </row>
    <row r="50" spans="1:11" ht="18.75">
      <c r="A50" s="24"/>
      <c r="B50" s="23"/>
      <c r="C50" s="23"/>
      <c r="D50" s="23"/>
      <c r="E50" s="23"/>
      <c r="F50" s="23"/>
      <c r="G50" s="23"/>
      <c r="H50" s="23"/>
      <c r="I50" s="23"/>
      <c r="J50" s="22"/>
      <c r="K50" s="22"/>
    </row>
    <row r="51" spans="1:11" ht="18.75">
      <c r="A51" s="24"/>
      <c r="B51" s="23"/>
      <c r="C51" s="23"/>
      <c r="D51" s="23"/>
      <c r="E51" s="23"/>
      <c r="F51" s="23"/>
      <c r="G51" s="23"/>
      <c r="H51" s="23"/>
      <c r="I51" s="23"/>
      <c r="J51" s="22"/>
      <c r="K51" s="22"/>
    </row>
    <row r="52" spans="1:11" ht="18.75">
      <c r="A52" s="24"/>
      <c r="B52" s="23"/>
      <c r="C52" s="23"/>
      <c r="D52" s="23"/>
      <c r="E52" s="23"/>
      <c r="F52" s="23"/>
      <c r="G52" s="23"/>
      <c r="H52" s="23"/>
      <c r="I52" s="23"/>
      <c r="J52" s="22"/>
      <c r="K52" s="22"/>
    </row>
    <row r="53" spans="1:11" ht="18.75">
      <c r="A53" s="24"/>
      <c r="B53" s="23"/>
      <c r="C53" s="23"/>
      <c r="D53" s="23"/>
      <c r="E53" s="23"/>
      <c r="F53" s="23"/>
      <c r="G53" s="23"/>
      <c r="H53" s="23"/>
      <c r="I53" s="23"/>
      <c r="J53" s="22"/>
      <c r="K53" s="22"/>
    </row>
    <row r="54" spans="1:11">
      <c r="A54" s="25"/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5" spans="1:11">
      <c r="A55" s="25"/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 spans="1:1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</row>
    <row r="57" spans="1:1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</row>
  </sheetData>
  <mergeCells count="2">
    <mergeCell ref="A1:E1"/>
    <mergeCell ref="A2:E2"/>
  </mergeCells>
  <pageMargins left="0.7" right="0.7" top="0.75" bottom="0.75" header="0.3" footer="0.3"/>
  <pageSetup paperSize="9" scale="75" orientation="portrait" r:id="rId1"/>
  <headerFooter>
    <oddFooter>&amp;L&amp;16MD MAMUN&amp;C&amp;16ABDUS SALAM&amp;R&amp;16MD JAHANGIR ALAM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3D8B-62BC-4702-AE46-7CE9C2389C06}">
  <sheetPr>
    <pageSetUpPr fitToPage="1"/>
  </sheetPr>
  <dimension ref="A1:G33"/>
  <sheetViews>
    <sheetView zoomScaleNormal="100" workbookViewId="0">
      <pane ySplit="3" topLeftCell="A12" activePane="bottomLeft" state="frozen"/>
      <selection pane="bottomLeft" activeCell="K24" sqref="K24"/>
    </sheetView>
  </sheetViews>
  <sheetFormatPr defaultRowHeight="15"/>
  <cols>
    <col min="1" max="1" width="4.42578125" bestFit="1" customWidth="1"/>
    <col min="2" max="2" width="10.42578125" bestFit="1" customWidth="1"/>
    <col min="3" max="3" width="43.7109375" customWidth="1"/>
    <col min="4" max="4" width="12" bestFit="1" customWidth="1"/>
    <col min="5" max="5" width="10.140625" bestFit="1" customWidth="1"/>
    <col min="6" max="6" width="34.7109375" bestFit="1" customWidth="1"/>
    <col min="7" max="7" width="12" bestFit="1" customWidth="1"/>
    <col min="13" max="13" width="10.5703125" bestFit="1" customWidth="1"/>
  </cols>
  <sheetData>
    <row r="1" spans="1:7" ht="23.25" thickBot="1">
      <c r="A1" s="227" t="s">
        <v>159</v>
      </c>
      <c r="B1" s="228"/>
      <c r="C1" s="228"/>
      <c r="D1" s="228"/>
      <c r="E1" s="201"/>
      <c r="F1" s="201"/>
      <c r="G1" s="202"/>
    </row>
    <row r="2" spans="1:7" ht="21" thickBot="1">
      <c r="A2" s="6"/>
      <c r="B2" s="232" t="s">
        <v>160</v>
      </c>
      <c r="C2" s="233"/>
      <c r="D2" s="234"/>
      <c r="E2" s="229" t="s">
        <v>161</v>
      </c>
      <c r="F2" s="230"/>
      <c r="G2" s="231"/>
    </row>
    <row r="3" spans="1:7" ht="19.5" thickBot="1">
      <c r="A3" s="6" t="s">
        <v>106</v>
      </c>
      <c r="B3" s="11" t="s">
        <v>1</v>
      </c>
      <c r="C3" s="11" t="s">
        <v>2</v>
      </c>
      <c r="D3" s="12" t="s">
        <v>162</v>
      </c>
      <c r="E3" s="13" t="s">
        <v>1</v>
      </c>
      <c r="F3" s="14" t="s">
        <v>2</v>
      </c>
      <c r="G3" s="12" t="s">
        <v>162</v>
      </c>
    </row>
    <row r="4" spans="1:7" ht="18.75">
      <c r="A4" s="7">
        <v>1</v>
      </c>
      <c r="B4" s="21">
        <v>46023</v>
      </c>
      <c r="C4" s="38" t="s">
        <v>111</v>
      </c>
      <c r="D4" s="191">
        <v>3000</v>
      </c>
      <c r="E4" s="47"/>
      <c r="F4" s="41" t="s">
        <v>163</v>
      </c>
      <c r="G4" s="191">
        <v>23700</v>
      </c>
    </row>
    <row r="5" spans="1:7" ht="18.75">
      <c r="A5" s="7">
        <v>2</v>
      </c>
      <c r="B5" s="15"/>
      <c r="C5" s="39" t="s">
        <v>116</v>
      </c>
      <c r="D5" s="192">
        <v>2500</v>
      </c>
      <c r="E5" s="48"/>
      <c r="F5" s="42" t="s">
        <v>164</v>
      </c>
      <c r="G5" s="192">
        <v>500</v>
      </c>
    </row>
    <row r="6" spans="1:7" ht="18.75">
      <c r="A6" s="7">
        <v>3</v>
      </c>
      <c r="B6" s="15"/>
      <c r="C6" s="39" t="s">
        <v>112</v>
      </c>
      <c r="D6" s="192">
        <v>3000</v>
      </c>
      <c r="E6" s="48"/>
      <c r="F6" s="42" t="s">
        <v>165</v>
      </c>
      <c r="G6" s="192">
        <v>100</v>
      </c>
    </row>
    <row r="7" spans="1:7" ht="18.75">
      <c r="A7" s="7">
        <v>4</v>
      </c>
      <c r="B7" s="15"/>
      <c r="C7" s="39" t="s">
        <v>113</v>
      </c>
      <c r="D7" s="192">
        <v>2500</v>
      </c>
      <c r="E7" s="48"/>
      <c r="F7" s="42" t="s">
        <v>166</v>
      </c>
      <c r="G7" s="192">
        <v>80</v>
      </c>
    </row>
    <row r="8" spans="1:7" ht="18.75">
      <c r="A8" s="7">
        <v>5</v>
      </c>
      <c r="B8" s="15"/>
      <c r="C8" s="39" t="s">
        <v>114</v>
      </c>
      <c r="D8" s="192">
        <v>2500</v>
      </c>
      <c r="E8" s="48"/>
      <c r="F8" s="42" t="s">
        <v>166</v>
      </c>
      <c r="G8" s="192">
        <v>25</v>
      </c>
    </row>
    <row r="9" spans="1:7" ht="18.75">
      <c r="A9" s="7">
        <v>6</v>
      </c>
      <c r="B9" s="15"/>
      <c r="C9" s="39" t="s">
        <v>118</v>
      </c>
      <c r="D9" s="192">
        <v>2000</v>
      </c>
      <c r="E9" s="48"/>
      <c r="F9" s="42" t="s">
        <v>167</v>
      </c>
      <c r="G9" s="192">
        <v>225</v>
      </c>
    </row>
    <row r="10" spans="1:7" ht="18.75">
      <c r="A10" s="7">
        <v>7</v>
      </c>
      <c r="B10" s="15"/>
      <c r="C10" s="39" t="s">
        <v>120</v>
      </c>
      <c r="D10" s="192">
        <v>3000</v>
      </c>
      <c r="E10" s="48" t="s">
        <v>168</v>
      </c>
      <c r="F10" s="42" t="s">
        <v>169</v>
      </c>
      <c r="G10" s="192">
        <v>15700</v>
      </c>
    </row>
    <row r="11" spans="1:7" ht="18.75">
      <c r="A11" s="7">
        <v>8</v>
      </c>
      <c r="B11" s="15"/>
      <c r="C11" s="39" t="s">
        <v>121</v>
      </c>
      <c r="D11" s="192">
        <v>3000</v>
      </c>
      <c r="E11" s="48" t="s">
        <v>170</v>
      </c>
      <c r="F11" s="42" t="s">
        <v>171</v>
      </c>
      <c r="G11" s="192">
        <v>57</v>
      </c>
    </row>
    <row r="12" spans="1:7" ht="18.75">
      <c r="A12" s="7">
        <v>9</v>
      </c>
      <c r="B12" s="15"/>
      <c r="C12" s="39" t="s">
        <v>122</v>
      </c>
      <c r="D12" s="192">
        <v>3000</v>
      </c>
      <c r="E12" s="48" t="s">
        <v>172</v>
      </c>
      <c r="F12" s="42" t="s">
        <v>173</v>
      </c>
      <c r="G12" s="192">
        <v>40</v>
      </c>
    </row>
    <row r="13" spans="1:7" ht="18.75">
      <c r="A13" s="7">
        <v>10</v>
      </c>
      <c r="B13" s="15"/>
      <c r="C13" s="39" t="s">
        <v>123</v>
      </c>
      <c r="D13" s="192">
        <v>3000</v>
      </c>
      <c r="E13" s="48" t="s">
        <v>174</v>
      </c>
      <c r="F13" s="42" t="s">
        <v>175</v>
      </c>
      <c r="G13" s="192">
        <v>50</v>
      </c>
    </row>
    <row r="14" spans="1:7" ht="18.75">
      <c r="A14" s="7">
        <v>11</v>
      </c>
      <c r="B14" s="15"/>
      <c r="C14" s="39" t="s">
        <v>124</v>
      </c>
      <c r="D14" s="192">
        <v>6000</v>
      </c>
      <c r="E14" s="48" t="s">
        <v>176</v>
      </c>
      <c r="F14" s="42" t="s">
        <v>177</v>
      </c>
      <c r="G14" s="192">
        <v>306</v>
      </c>
    </row>
    <row r="15" spans="1:7" ht="18.75">
      <c r="A15" s="7">
        <v>12</v>
      </c>
      <c r="B15" s="15"/>
      <c r="C15" s="39" t="s">
        <v>125</v>
      </c>
      <c r="D15" s="192">
        <v>3000</v>
      </c>
      <c r="E15" s="48"/>
      <c r="F15" s="42"/>
      <c r="G15" s="2"/>
    </row>
    <row r="16" spans="1:7" ht="18.75">
      <c r="A16" s="7">
        <v>13</v>
      </c>
      <c r="B16" s="15"/>
      <c r="C16" s="39" t="s">
        <v>126</v>
      </c>
      <c r="D16" s="192">
        <v>3000</v>
      </c>
      <c r="E16" s="48"/>
      <c r="F16" s="42"/>
      <c r="G16" s="2"/>
    </row>
    <row r="17" spans="1:7" ht="18.75">
      <c r="A17" s="7">
        <v>14</v>
      </c>
      <c r="B17" s="15"/>
      <c r="C17" s="39" t="s">
        <v>127</v>
      </c>
      <c r="D17" s="192">
        <v>3000</v>
      </c>
      <c r="E17" s="48"/>
      <c r="F17" s="43"/>
      <c r="G17" s="3"/>
    </row>
    <row r="18" spans="1:7" ht="18.75">
      <c r="A18" s="7">
        <v>15</v>
      </c>
      <c r="B18" s="15"/>
      <c r="C18" s="39" t="s">
        <v>128</v>
      </c>
      <c r="D18" s="193">
        <v>3000</v>
      </c>
      <c r="E18" s="48"/>
      <c r="F18" s="43"/>
      <c r="G18" s="3"/>
    </row>
    <row r="19" spans="1:7" ht="18.75">
      <c r="A19" s="7">
        <v>16</v>
      </c>
      <c r="B19" s="15" t="s">
        <v>170</v>
      </c>
      <c r="C19" s="39" t="s">
        <v>178</v>
      </c>
      <c r="D19" s="193">
        <v>2000</v>
      </c>
      <c r="E19" s="49"/>
      <c r="F19" s="43"/>
      <c r="G19" s="3"/>
    </row>
    <row r="20" spans="1:7" ht="18.75">
      <c r="A20" s="7">
        <v>17</v>
      </c>
      <c r="B20" s="15" t="s">
        <v>172</v>
      </c>
      <c r="C20" s="39" t="s">
        <v>130</v>
      </c>
      <c r="D20" s="193">
        <v>2000</v>
      </c>
      <c r="E20" s="49"/>
      <c r="F20" s="43"/>
      <c r="G20" s="3"/>
    </row>
    <row r="21" spans="1:7" ht="18.75">
      <c r="A21" s="7">
        <v>18</v>
      </c>
      <c r="B21" s="15" t="s">
        <v>172</v>
      </c>
      <c r="C21" s="39" t="s">
        <v>131</v>
      </c>
      <c r="D21" s="193">
        <v>3000</v>
      </c>
      <c r="E21" s="49"/>
      <c r="F21" s="43"/>
      <c r="G21" s="3"/>
    </row>
    <row r="22" spans="1:7" ht="18.75">
      <c r="A22" s="7">
        <v>19</v>
      </c>
      <c r="B22" s="15" t="s">
        <v>174</v>
      </c>
      <c r="C22" s="39" t="s">
        <v>132</v>
      </c>
      <c r="D22" s="193">
        <v>3000</v>
      </c>
      <c r="E22" s="49"/>
      <c r="F22" s="43"/>
      <c r="G22" s="3"/>
    </row>
    <row r="23" spans="1:7" ht="18.75">
      <c r="A23" s="7">
        <v>20</v>
      </c>
      <c r="B23" s="15" t="s">
        <v>174</v>
      </c>
      <c r="C23" s="39" t="s">
        <v>133</v>
      </c>
      <c r="D23" s="193">
        <v>1500</v>
      </c>
      <c r="E23" s="49"/>
      <c r="F23" s="43"/>
      <c r="G23" s="3"/>
    </row>
    <row r="24" spans="1:7" ht="18.75">
      <c r="A24" s="7">
        <v>21</v>
      </c>
      <c r="B24" s="15" t="s">
        <v>179</v>
      </c>
      <c r="C24" s="39" t="s">
        <v>134</v>
      </c>
      <c r="D24" s="193">
        <v>3000</v>
      </c>
      <c r="E24" s="49"/>
      <c r="F24" s="43"/>
      <c r="G24" s="3"/>
    </row>
    <row r="25" spans="1:7" ht="18.75">
      <c r="A25" s="7">
        <v>22</v>
      </c>
      <c r="B25" s="15" t="s">
        <v>179</v>
      </c>
      <c r="C25" s="39" t="s">
        <v>135</v>
      </c>
      <c r="D25" s="193">
        <v>3000</v>
      </c>
      <c r="E25" s="49"/>
      <c r="F25" s="43"/>
      <c r="G25" s="3"/>
    </row>
    <row r="26" spans="1:7" ht="18.75">
      <c r="A26" s="7">
        <v>23</v>
      </c>
      <c r="B26" s="50">
        <v>46057</v>
      </c>
      <c r="C26" s="39" t="s">
        <v>136</v>
      </c>
      <c r="D26" s="193">
        <v>3000</v>
      </c>
      <c r="E26" s="49"/>
      <c r="F26" s="43"/>
      <c r="G26" s="3"/>
    </row>
    <row r="27" spans="1:7" ht="18.75">
      <c r="A27" s="7">
        <v>24</v>
      </c>
      <c r="B27" s="15" t="s">
        <v>179</v>
      </c>
      <c r="C27" s="39" t="s">
        <v>137</v>
      </c>
      <c r="D27" s="193">
        <v>3000</v>
      </c>
      <c r="E27" s="49"/>
      <c r="F27" s="43"/>
      <c r="G27" s="3"/>
    </row>
    <row r="28" spans="1:7" ht="18.75">
      <c r="A28" s="7">
        <v>25</v>
      </c>
      <c r="B28" s="15"/>
      <c r="C28" s="39" t="s">
        <v>180</v>
      </c>
      <c r="D28" s="193">
        <v>42</v>
      </c>
      <c r="E28" s="49"/>
      <c r="F28" s="43"/>
      <c r="G28" s="3"/>
    </row>
    <row r="29" spans="1:7" ht="18.75">
      <c r="A29" s="7"/>
      <c r="B29" s="15"/>
      <c r="C29" s="39" t="s">
        <v>181</v>
      </c>
      <c r="D29" s="193">
        <v>476</v>
      </c>
      <c r="E29" s="49"/>
      <c r="F29" s="43"/>
      <c r="G29" s="3"/>
    </row>
    <row r="30" spans="1:7" ht="18.75">
      <c r="A30" s="7"/>
      <c r="B30" s="15" t="s">
        <v>176</v>
      </c>
      <c r="C30" s="39" t="s">
        <v>181</v>
      </c>
      <c r="D30" s="193">
        <v>1300</v>
      </c>
      <c r="E30" s="48"/>
      <c r="F30" s="43"/>
      <c r="G30" s="3"/>
    </row>
    <row r="31" spans="1:7" ht="18.75">
      <c r="A31" s="7"/>
      <c r="B31" s="15"/>
      <c r="C31" s="39"/>
      <c r="D31" s="192"/>
      <c r="E31" s="9"/>
      <c r="F31" s="4" t="s">
        <v>182</v>
      </c>
      <c r="G31" s="196">
        <f>SUM(G4:G30)</f>
        <v>40783</v>
      </c>
    </row>
    <row r="32" spans="1:7" ht="19.5" thickBot="1">
      <c r="A32" s="7"/>
      <c r="B32" s="17"/>
      <c r="C32" s="40"/>
      <c r="D32" s="194"/>
      <c r="E32" s="10"/>
      <c r="F32" s="5" t="s">
        <v>183</v>
      </c>
      <c r="G32" s="197">
        <f>D33-G31</f>
        <v>30035</v>
      </c>
    </row>
    <row r="33" spans="1:7" ht="19.5" thickBot="1">
      <c r="A33" s="8"/>
      <c r="B33" s="16" t="s">
        <v>176</v>
      </c>
      <c r="C33" s="19" t="s">
        <v>158</v>
      </c>
      <c r="D33" s="195">
        <f>SUM(D4:D32)</f>
        <v>70818</v>
      </c>
      <c r="E33" s="20" t="s">
        <v>176</v>
      </c>
      <c r="F33" s="19" t="s">
        <v>158</v>
      </c>
      <c r="G33" s="195">
        <f>SUM(G31:G32)</f>
        <v>70818</v>
      </c>
    </row>
  </sheetData>
  <mergeCells count="3">
    <mergeCell ref="A1:G1"/>
    <mergeCell ref="E2:G2"/>
    <mergeCell ref="B2:D2"/>
  </mergeCells>
  <pageMargins left="0.7" right="0.7" top="0.75" bottom="0.75" header="0.3" footer="0.3"/>
  <pageSetup paperSize="9" scale="80" orientation="landscape" r:id="rId1"/>
  <headerFooter>
    <oddFooter>&amp;L&amp;16MD MAMUN&amp;C&amp;16ABDUS SALAM&amp;R&amp;16MD JAHANGIR ALAM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D100-305F-4F29-8FCA-943B122C9296}">
  <sheetPr>
    <pageSetUpPr fitToPage="1"/>
  </sheetPr>
  <dimension ref="A1:G35"/>
  <sheetViews>
    <sheetView zoomScaleNormal="100" workbookViewId="0">
      <pane ySplit="3" topLeftCell="A4" activePane="bottomLeft" state="frozen"/>
      <selection pane="bottomLeft" activeCell="H20" sqref="H20"/>
    </sheetView>
  </sheetViews>
  <sheetFormatPr defaultRowHeight="15"/>
  <cols>
    <col min="1" max="1" width="4.42578125" bestFit="1" customWidth="1"/>
    <col min="2" max="2" width="11.7109375" bestFit="1" customWidth="1"/>
    <col min="3" max="3" width="35.28515625" bestFit="1" customWidth="1"/>
    <col min="4" max="4" width="13" bestFit="1" customWidth="1"/>
    <col min="5" max="5" width="12.7109375" bestFit="1" customWidth="1"/>
    <col min="6" max="6" width="41.85546875" bestFit="1" customWidth="1"/>
    <col min="7" max="7" width="13" bestFit="1" customWidth="1"/>
  </cols>
  <sheetData>
    <row r="1" spans="1:7" ht="23.25" thickBot="1">
      <c r="A1" s="200" t="s">
        <v>184</v>
      </c>
      <c r="B1" s="201"/>
      <c r="C1" s="201"/>
      <c r="D1" s="201"/>
      <c r="E1" s="201"/>
      <c r="F1" s="201"/>
      <c r="G1" s="202"/>
    </row>
    <row r="2" spans="1:7" ht="21" thickBot="1">
      <c r="A2" s="6" t="s">
        <v>106</v>
      </c>
      <c r="B2" s="203" t="s">
        <v>160</v>
      </c>
      <c r="C2" s="204"/>
      <c r="D2" s="205"/>
      <c r="E2" s="206" t="s">
        <v>161</v>
      </c>
      <c r="F2" s="207"/>
      <c r="G2" s="208"/>
    </row>
    <row r="3" spans="1:7" ht="19.5" thickBot="1">
      <c r="A3" s="6"/>
      <c r="B3" s="11" t="s">
        <v>1</v>
      </c>
      <c r="C3" s="11" t="s">
        <v>2</v>
      </c>
      <c r="D3" s="12" t="s">
        <v>162</v>
      </c>
      <c r="E3" s="13" t="s">
        <v>1</v>
      </c>
      <c r="F3" s="14" t="s">
        <v>2</v>
      </c>
      <c r="G3" s="12" t="s">
        <v>162</v>
      </c>
    </row>
    <row r="4" spans="1:7" ht="18.75">
      <c r="A4" s="7">
        <v>1</v>
      </c>
      <c r="B4" s="64">
        <v>46027</v>
      </c>
      <c r="C4" s="38" t="s">
        <v>185</v>
      </c>
      <c r="D4" s="99">
        <f>'APRIL 2026'!G32</f>
        <v>30035</v>
      </c>
      <c r="E4" s="65">
        <v>46027</v>
      </c>
      <c r="F4" s="92" t="s">
        <v>186</v>
      </c>
      <c r="G4" s="131">
        <v>30</v>
      </c>
    </row>
    <row r="5" spans="1:7" ht="18.75">
      <c r="A5" s="7">
        <v>2</v>
      </c>
      <c r="B5" s="56">
        <v>46027</v>
      </c>
      <c r="C5" s="39" t="s">
        <v>138</v>
      </c>
      <c r="D5" s="100">
        <v>3000</v>
      </c>
      <c r="E5" s="54">
        <v>46147</v>
      </c>
      <c r="F5" s="93" t="s">
        <v>186</v>
      </c>
      <c r="G5" s="128">
        <v>20</v>
      </c>
    </row>
    <row r="6" spans="1:7" ht="18.75">
      <c r="A6" s="7">
        <v>3</v>
      </c>
      <c r="B6" s="56">
        <v>46300</v>
      </c>
      <c r="C6" s="39" t="s">
        <v>187</v>
      </c>
      <c r="D6" s="100">
        <v>1000</v>
      </c>
      <c r="E6" s="54">
        <v>46208</v>
      </c>
      <c r="F6" s="93" t="s">
        <v>188</v>
      </c>
      <c r="G6" s="128">
        <v>150</v>
      </c>
    </row>
    <row r="7" spans="1:7" ht="18.75">
      <c r="A7" s="7">
        <v>4</v>
      </c>
      <c r="B7" s="56">
        <v>46086</v>
      </c>
      <c r="C7" s="39" t="s">
        <v>189</v>
      </c>
      <c r="D7" s="100">
        <v>3000</v>
      </c>
      <c r="E7" s="54">
        <v>46300</v>
      </c>
      <c r="F7" s="93" t="s">
        <v>190</v>
      </c>
      <c r="G7" s="128">
        <v>15500</v>
      </c>
    </row>
    <row r="8" spans="1:7" ht="18.75">
      <c r="A8" s="7">
        <v>5</v>
      </c>
      <c r="B8" s="56">
        <v>46300</v>
      </c>
      <c r="C8" s="39" t="s">
        <v>191</v>
      </c>
      <c r="D8" s="100">
        <v>1000</v>
      </c>
      <c r="E8" s="54">
        <v>46300</v>
      </c>
      <c r="F8" s="93" t="s">
        <v>192</v>
      </c>
      <c r="G8" s="128">
        <v>10000</v>
      </c>
    </row>
    <row r="9" spans="1:7" ht="18.75">
      <c r="A9" s="7">
        <v>6</v>
      </c>
      <c r="B9" s="56">
        <v>46300</v>
      </c>
      <c r="C9" s="39" t="s">
        <v>193</v>
      </c>
      <c r="D9" s="100">
        <v>3000</v>
      </c>
      <c r="E9" s="54">
        <v>46300</v>
      </c>
      <c r="F9" s="93" t="s">
        <v>171</v>
      </c>
      <c r="G9" s="128">
        <v>81</v>
      </c>
    </row>
    <row r="10" spans="1:7" ht="18.75">
      <c r="A10" s="7">
        <v>7</v>
      </c>
      <c r="B10" s="56">
        <v>46300</v>
      </c>
      <c r="C10" s="39" t="s">
        <v>194</v>
      </c>
      <c r="D10" s="100">
        <v>3000</v>
      </c>
      <c r="E10" s="54">
        <v>46331</v>
      </c>
      <c r="F10" s="93" t="s">
        <v>195</v>
      </c>
      <c r="G10" s="128">
        <v>540</v>
      </c>
    </row>
    <row r="11" spans="1:7" ht="18.75">
      <c r="A11" s="7">
        <v>8</v>
      </c>
      <c r="B11" s="56">
        <v>46300</v>
      </c>
      <c r="C11" s="39" t="s">
        <v>196</v>
      </c>
      <c r="D11" s="100">
        <v>1000</v>
      </c>
      <c r="E11" s="54">
        <v>46361</v>
      </c>
      <c r="F11" s="93" t="s">
        <v>197</v>
      </c>
      <c r="G11" s="128">
        <v>200</v>
      </c>
    </row>
    <row r="12" spans="1:7" ht="18.75">
      <c r="A12" s="7">
        <v>9</v>
      </c>
      <c r="B12" s="56">
        <v>46300</v>
      </c>
      <c r="C12" s="39" t="s">
        <v>198</v>
      </c>
      <c r="D12" s="100">
        <v>1000</v>
      </c>
      <c r="E12" s="54" t="s">
        <v>199</v>
      </c>
      <c r="F12" s="93" t="s">
        <v>200</v>
      </c>
      <c r="G12" s="128">
        <v>13200</v>
      </c>
    </row>
    <row r="13" spans="1:7" ht="18.75">
      <c r="A13" s="7">
        <v>10</v>
      </c>
      <c r="B13" s="56">
        <v>46300</v>
      </c>
      <c r="C13" s="39" t="s">
        <v>201</v>
      </c>
      <c r="D13" s="100">
        <v>1500</v>
      </c>
      <c r="E13" s="54" t="s">
        <v>199</v>
      </c>
      <c r="F13" s="93" t="s">
        <v>202</v>
      </c>
      <c r="G13" s="128">
        <v>20</v>
      </c>
    </row>
    <row r="14" spans="1:7" ht="18.75">
      <c r="A14" s="7">
        <v>11</v>
      </c>
      <c r="B14" s="56" t="s">
        <v>199</v>
      </c>
      <c r="C14" s="152" t="s">
        <v>203</v>
      </c>
      <c r="D14" s="106">
        <v>3000</v>
      </c>
      <c r="E14" s="54" t="s">
        <v>199</v>
      </c>
      <c r="F14" s="93" t="s">
        <v>204</v>
      </c>
      <c r="G14" s="128">
        <v>150</v>
      </c>
    </row>
    <row r="15" spans="1:7" ht="18.75">
      <c r="A15" s="7">
        <v>12</v>
      </c>
      <c r="B15" s="56" t="s">
        <v>199</v>
      </c>
      <c r="C15" s="39" t="s">
        <v>196</v>
      </c>
      <c r="D15" s="100">
        <v>2000</v>
      </c>
      <c r="E15" s="54" t="s">
        <v>199</v>
      </c>
      <c r="F15" s="93" t="s">
        <v>171</v>
      </c>
      <c r="G15" s="128">
        <v>33</v>
      </c>
    </row>
    <row r="16" spans="1:7" ht="18.75">
      <c r="A16" s="7">
        <v>13</v>
      </c>
      <c r="B16" s="56" t="s">
        <v>205</v>
      </c>
      <c r="C16" s="98" t="s">
        <v>206</v>
      </c>
      <c r="D16" s="100">
        <v>500</v>
      </c>
      <c r="E16" s="54" t="s">
        <v>205</v>
      </c>
      <c r="F16" s="93" t="s">
        <v>186</v>
      </c>
      <c r="G16" s="128">
        <v>30</v>
      </c>
    </row>
    <row r="17" spans="1:7" ht="18.75">
      <c r="A17" s="7">
        <v>14</v>
      </c>
      <c r="B17" s="56" t="s">
        <v>207</v>
      </c>
      <c r="C17" s="39" t="s">
        <v>208</v>
      </c>
      <c r="D17" s="100">
        <v>1000</v>
      </c>
      <c r="E17" s="54" t="s">
        <v>207</v>
      </c>
      <c r="F17" s="93" t="s">
        <v>209</v>
      </c>
      <c r="G17" s="128">
        <v>13200</v>
      </c>
    </row>
    <row r="18" spans="1:7" ht="18.75">
      <c r="A18" s="7">
        <v>15</v>
      </c>
      <c r="B18" s="1" t="s">
        <v>210</v>
      </c>
      <c r="C18" s="39" t="s">
        <v>211</v>
      </c>
      <c r="D18" s="106">
        <v>30</v>
      </c>
      <c r="E18" s="54" t="s">
        <v>212</v>
      </c>
      <c r="F18" s="93" t="s">
        <v>213</v>
      </c>
      <c r="G18" s="128">
        <v>180</v>
      </c>
    </row>
    <row r="19" spans="1:7" ht="18.75">
      <c r="A19" s="7">
        <v>16</v>
      </c>
      <c r="B19" s="1" t="s">
        <v>214</v>
      </c>
      <c r="C19" s="39" t="s">
        <v>215</v>
      </c>
      <c r="D19" s="100">
        <v>3000</v>
      </c>
      <c r="E19" s="54" t="s">
        <v>212</v>
      </c>
      <c r="F19" s="94" t="s">
        <v>186</v>
      </c>
      <c r="G19" s="128">
        <v>35</v>
      </c>
    </row>
    <row r="20" spans="1:7" ht="18.75">
      <c r="A20" s="7"/>
      <c r="B20" s="1"/>
      <c r="C20" s="39"/>
      <c r="D20" s="2"/>
      <c r="E20" s="54" t="s">
        <v>212</v>
      </c>
      <c r="F20" s="94" t="s">
        <v>216</v>
      </c>
      <c r="G20" s="128">
        <v>20</v>
      </c>
    </row>
    <row r="21" spans="1:7" ht="18.75">
      <c r="A21" s="7"/>
      <c r="B21" s="1"/>
      <c r="C21" s="39"/>
      <c r="D21" s="2"/>
      <c r="E21" s="54" t="s">
        <v>217</v>
      </c>
      <c r="F21" s="94" t="s">
        <v>186</v>
      </c>
      <c r="G21" s="128">
        <v>20</v>
      </c>
    </row>
    <row r="22" spans="1:7" ht="18.75">
      <c r="A22" s="7"/>
      <c r="B22" s="1"/>
      <c r="C22" s="39"/>
      <c r="D22" s="2"/>
      <c r="E22" s="54" t="s">
        <v>217</v>
      </c>
      <c r="F22" s="94" t="s">
        <v>218</v>
      </c>
      <c r="G22" s="100">
        <v>45</v>
      </c>
    </row>
    <row r="23" spans="1:7" ht="19.5" thickBot="1">
      <c r="A23" s="7"/>
      <c r="B23" s="1"/>
      <c r="C23" s="39"/>
      <c r="D23" s="2"/>
      <c r="E23" s="54"/>
      <c r="F23" s="94"/>
      <c r="G23" s="100"/>
    </row>
    <row r="24" spans="1:7" ht="19.5" thickBot="1">
      <c r="A24" s="7"/>
      <c r="B24" s="1"/>
      <c r="C24" s="39"/>
      <c r="D24" s="2"/>
      <c r="E24" s="54"/>
      <c r="F24" s="58" t="s">
        <v>182</v>
      </c>
      <c r="G24" s="95">
        <f>SUM(G4:G22)</f>
        <v>53454</v>
      </c>
    </row>
    <row r="25" spans="1:7" ht="19.5" thickBot="1">
      <c r="A25" s="59"/>
      <c r="B25" s="60"/>
      <c r="C25" s="40"/>
      <c r="D25" s="18"/>
      <c r="E25" s="57"/>
      <c r="F25" s="61" t="s">
        <v>183</v>
      </c>
      <c r="G25" s="96">
        <f>D26-G24</f>
        <v>3611</v>
      </c>
    </row>
    <row r="26" spans="1:7" ht="19.5" thickBot="1">
      <c r="A26" s="62"/>
      <c r="B26" s="209" t="s">
        <v>158</v>
      </c>
      <c r="C26" s="210"/>
      <c r="D26" s="63">
        <f>SUM(D4:D25)</f>
        <v>57065</v>
      </c>
      <c r="E26" s="209" t="s">
        <v>158</v>
      </c>
      <c r="F26" s="210"/>
      <c r="G26" s="97">
        <f>SUM(G24:G25)</f>
        <v>57065</v>
      </c>
    </row>
    <row r="29" spans="1:7">
      <c r="F29" s="102"/>
    </row>
    <row r="30" spans="1:7">
      <c r="F30" s="102"/>
    </row>
    <row r="31" spans="1:7">
      <c r="F31" s="102"/>
    </row>
    <row r="32" spans="1:7">
      <c r="D32" s="102"/>
      <c r="F32" s="102"/>
    </row>
    <row r="33" spans="3:4">
      <c r="D33" s="102"/>
    </row>
    <row r="34" spans="3:4">
      <c r="D34" s="102"/>
    </row>
    <row r="35" spans="3:4">
      <c r="C35" s="103"/>
      <c r="D35" s="101"/>
    </row>
  </sheetData>
  <mergeCells count="5">
    <mergeCell ref="B26:C26"/>
    <mergeCell ref="E26:F26"/>
    <mergeCell ref="A1:G1"/>
    <mergeCell ref="B2:D2"/>
    <mergeCell ref="E2:G2"/>
  </mergeCells>
  <pageMargins left="0.7" right="0.7" top="0.75" bottom="0.75" header="0.3" footer="0.3"/>
  <pageSetup paperSize="9" scale="99" orientation="landscape" r:id="rId1"/>
  <headerFooter>
    <oddFooter>&amp;L&amp;16MD MAMUN&amp;C&amp;16ABDUS SALAM&amp;R&amp;16MD JAHANGIR ALAM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89D8-7CF5-44F8-8888-8FF5868CFF84}">
  <sheetPr>
    <pageSetUpPr fitToPage="1"/>
  </sheetPr>
  <dimension ref="A1:M42"/>
  <sheetViews>
    <sheetView zoomScale="85" zoomScaleNormal="85" workbookViewId="0">
      <pane ySplit="3" topLeftCell="A4" activePane="bottomLeft" state="frozen"/>
      <selection pane="bottomLeft" activeCell="N10" sqref="N10"/>
    </sheetView>
  </sheetViews>
  <sheetFormatPr defaultRowHeight="15"/>
  <cols>
    <col min="1" max="1" width="4.42578125" bestFit="1" customWidth="1"/>
    <col min="2" max="2" width="11.7109375" bestFit="1" customWidth="1"/>
    <col min="3" max="3" width="39.28515625" bestFit="1" customWidth="1"/>
    <col min="4" max="4" width="11.5703125" bestFit="1" customWidth="1"/>
    <col min="5" max="5" width="12.7109375" bestFit="1" customWidth="1"/>
    <col min="6" max="6" width="64" bestFit="1" customWidth="1"/>
    <col min="7" max="7" width="13" bestFit="1" customWidth="1"/>
  </cols>
  <sheetData>
    <row r="1" spans="1:7" ht="23.25" thickBot="1">
      <c r="A1" s="200" t="s">
        <v>219</v>
      </c>
      <c r="B1" s="201"/>
      <c r="C1" s="201"/>
      <c r="D1" s="201"/>
      <c r="E1" s="201"/>
      <c r="F1" s="201"/>
      <c r="G1" s="202"/>
    </row>
    <row r="2" spans="1:7" ht="21" thickBot="1">
      <c r="A2" s="6" t="s">
        <v>106</v>
      </c>
      <c r="B2" s="203" t="s">
        <v>160</v>
      </c>
      <c r="C2" s="204"/>
      <c r="D2" s="205"/>
      <c r="E2" s="206" t="s">
        <v>161</v>
      </c>
      <c r="F2" s="207"/>
      <c r="G2" s="208"/>
    </row>
    <row r="3" spans="1:7" ht="19.5" thickBot="1">
      <c r="A3" s="6"/>
      <c r="B3" s="11" t="s">
        <v>1</v>
      </c>
      <c r="C3" s="11" t="s">
        <v>2</v>
      </c>
      <c r="D3" s="12" t="s">
        <v>162</v>
      </c>
      <c r="E3" s="13" t="s">
        <v>1</v>
      </c>
      <c r="F3" s="14" t="s">
        <v>2</v>
      </c>
      <c r="G3" s="12" t="s">
        <v>162</v>
      </c>
    </row>
    <row r="4" spans="1:7" ht="18.75">
      <c r="A4" s="7">
        <v>1</v>
      </c>
      <c r="B4" s="64">
        <v>46028</v>
      </c>
      <c r="C4" s="38" t="s">
        <v>185</v>
      </c>
      <c r="D4" s="99">
        <f>'MAY 2026'!G25</f>
        <v>3611</v>
      </c>
      <c r="E4" s="65">
        <v>46028</v>
      </c>
      <c r="F4" s="92" t="s">
        <v>220</v>
      </c>
      <c r="G4" s="99">
        <v>210</v>
      </c>
    </row>
    <row r="5" spans="1:7" ht="18.75">
      <c r="A5" s="7">
        <v>2</v>
      </c>
      <c r="B5" s="56">
        <v>46028</v>
      </c>
      <c r="C5" s="39" t="s">
        <v>221</v>
      </c>
      <c r="D5" s="100">
        <v>1300</v>
      </c>
      <c r="E5" s="54">
        <v>46118</v>
      </c>
      <c r="F5" s="93" t="s">
        <v>222</v>
      </c>
      <c r="G5" s="100">
        <v>65</v>
      </c>
    </row>
    <row r="6" spans="1:7" ht="18.75">
      <c r="A6" s="7">
        <v>3</v>
      </c>
      <c r="B6" s="56">
        <v>46362</v>
      </c>
      <c r="C6" s="39" t="s">
        <v>223</v>
      </c>
      <c r="D6" s="100">
        <v>1000</v>
      </c>
      <c r="E6" s="54">
        <v>46118</v>
      </c>
      <c r="F6" s="93" t="s">
        <v>224</v>
      </c>
      <c r="G6" s="100">
        <v>200</v>
      </c>
    </row>
    <row r="7" spans="1:7" ht="18.75">
      <c r="A7" s="7">
        <v>4</v>
      </c>
      <c r="B7" s="56">
        <v>46362</v>
      </c>
      <c r="C7" s="39" t="s">
        <v>225</v>
      </c>
      <c r="D7" s="100">
        <v>1000</v>
      </c>
      <c r="E7" s="54">
        <v>46148</v>
      </c>
      <c r="F7" s="93" t="s">
        <v>226</v>
      </c>
      <c r="G7" s="100">
        <v>110</v>
      </c>
    </row>
    <row r="8" spans="1:7" ht="18.75">
      <c r="A8" s="7">
        <v>5</v>
      </c>
      <c r="B8" s="56" t="s">
        <v>227</v>
      </c>
      <c r="C8" s="39" t="s">
        <v>228</v>
      </c>
      <c r="D8" s="100">
        <v>1000</v>
      </c>
      <c r="E8" s="54">
        <v>46179</v>
      </c>
      <c r="F8" s="93" t="s">
        <v>186</v>
      </c>
      <c r="G8" s="100">
        <v>20</v>
      </c>
    </row>
    <row r="9" spans="1:7" ht="18.75">
      <c r="A9" s="7">
        <v>6</v>
      </c>
      <c r="B9" s="56" t="s">
        <v>227</v>
      </c>
      <c r="C9" s="39" t="s">
        <v>229</v>
      </c>
      <c r="D9" s="100">
        <v>1000</v>
      </c>
      <c r="E9" s="54">
        <v>46301</v>
      </c>
      <c r="F9" s="93" t="s">
        <v>186</v>
      </c>
      <c r="G9" s="128">
        <v>30</v>
      </c>
    </row>
    <row r="10" spans="1:7" ht="18.75">
      <c r="A10" s="7">
        <v>7</v>
      </c>
      <c r="B10" s="56" t="s">
        <v>230</v>
      </c>
      <c r="C10" s="39" t="s">
        <v>231</v>
      </c>
      <c r="D10" s="100">
        <v>1000</v>
      </c>
      <c r="E10" s="54" t="s">
        <v>227</v>
      </c>
      <c r="F10" s="93" t="s">
        <v>232</v>
      </c>
      <c r="G10" s="128">
        <v>25</v>
      </c>
    </row>
    <row r="11" spans="1:7" ht="18.75">
      <c r="A11" s="7">
        <v>8</v>
      </c>
      <c r="B11" s="56" t="s">
        <v>230</v>
      </c>
      <c r="C11" s="39" t="s">
        <v>233</v>
      </c>
      <c r="D11" s="100">
        <v>130</v>
      </c>
      <c r="E11" s="54" t="s">
        <v>227</v>
      </c>
      <c r="F11" s="93" t="s">
        <v>232</v>
      </c>
      <c r="G11" s="128">
        <v>20</v>
      </c>
    </row>
    <row r="12" spans="1:7" ht="18.75">
      <c r="A12" s="7">
        <v>9</v>
      </c>
      <c r="B12" s="56" t="s">
        <v>230</v>
      </c>
      <c r="C12" s="39" t="s">
        <v>234</v>
      </c>
      <c r="D12" s="128">
        <v>1000</v>
      </c>
      <c r="E12" s="54" t="s">
        <v>227</v>
      </c>
      <c r="F12" s="93" t="s">
        <v>235</v>
      </c>
      <c r="G12" s="128">
        <v>280</v>
      </c>
    </row>
    <row r="13" spans="1:7" ht="18.75">
      <c r="A13" s="7">
        <v>10</v>
      </c>
      <c r="B13" s="56" t="s">
        <v>236</v>
      </c>
      <c r="C13" s="39" t="s">
        <v>237</v>
      </c>
      <c r="D13" s="100">
        <v>3000</v>
      </c>
      <c r="E13" s="55" t="s">
        <v>227</v>
      </c>
      <c r="F13" s="93" t="s">
        <v>238</v>
      </c>
      <c r="G13" s="128">
        <v>370</v>
      </c>
    </row>
    <row r="14" spans="1:7" ht="18.75">
      <c r="A14" s="7">
        <v>11</v>
      </c>
      <c r="B14" s="56" t="s">
        <v>236</v>
      </c>
      <c r="C14" s="39" t="s">
        <v>239</v>
      </c>
      <c r="D14" s="100">
        <v>3000</v>
      </c>
      <c r="E14" s="54" t="s">
        <v>227</v>
      </c>
      <c r="F14" s="93" t="s">
        <v>240</v>
      </c>
      <c r="G14" s="153">
        <v>250</v>
      </c>
    </row>
    <row r="15" spans="1:7" ht="18.75">
      <c r="A15" s="7">
        <v>12</v>
      </c>
      <c r="B15" s="56" t="s">
        <v>236</v>
      </c>
      <c r="C15" s="39" t="s">
        <v>241</v>
      </c>
      <c r="D15" s="100">
        <v>3000</v>
      </c>
      <c r="E15" s="54" t="s">
        <v>227</v>
      </c>
      <c r="F15" s="93" t="s">
        <v>242</v>
      </c>
      <c r="G15" s="153">
        <v>100</v>
      </c>
    </row>
    <row r="16" spans="1:7" ht="18.75">
      <c r="A16" s="7">
        <v>13</v>
      </c>
      <c r="B16" s="56" t="s">
        <v>243</v>
      </c>
      <c r="C16" s="39" t="s">
        <v>244</v>
      </c>
      <c r="D16" s="100">
        <v>1000</v>
      </c>
      <c r="E16" s="54" t="s">
        <v>245</v>
      </c>
      <c r="F16" s="93" t="s">
        <v>246</v>
      </c>
      <c r="G16" s="153">
        <v>500</v>
      </c>
    </row>
    <row r="17" spans="1:13" ht="18.75">
      <c r="A17" s="7">
        <v>14</v>
      </c>
      <c r="B17" s="56" t="s">
        <v>247</v>
      </c>
      <c r="C17" s="39" t="s">
        <v>248</v>
      </c>
      <c r="D17" s="100">
        <v>3000</v>
      </c>
      <c r="E17" s="54" t="s">
        <v>230</v>
      </c>
      <c r="F17" s="93" t="s">
        <v>249</v>
      </c>
      <c r="G17" s="153">
        <v>870</v>
      </c>
      <c r="M17" s="129"/>
    </row>
    <row r="18" spans="1:13" ht="18.75">
      <c r="A18" s="7">
        <v>15</v>
      </c>
      <c r="B18" s="56" t="s">
        <v>247</v>
      </c>
      <c r="C18" s="39" t="s">
        <v>250</v>
      </c>
      <c r="D18" s="100">
        <v>3000</v>
      </c>
      <c r="E18" s="54" t="s">
        <v>236</v>
      </c>
      <c r="F18" s="154" t="s">
        <v>251</v>
      </c>
      <c r="G18" s="153">
        <v>250</v>
      </c>
    </row>
    <row r="19" spans="1:13" ht="18.75">
      <c r="A19" s="7">
        <v>16</v>
      </c>
      <c r="B19" s="56" t="s">
        <v>247</v>
      </c>
      <c r="C19" s="39" t="s">
        <v>252</v>
      </c>
      <c r="D19" s="106">
        <v>3000</v>
      </c>
      <c r="E19" s="54" t="s">
        <v>236</v>
      </c>
      <c r="F19" s="93" t="s">
        <v>253</v>
      </c>
      <c r="G19" s="128">
        <v>325</v>
      </c>
    </row>
    <row r="20" spans="1:13" ht="18.75">
      <c r="A20" s="7">
        <v>17</v>
      </c>
      <c r="B20" s="56" t="s">
        <v>247</v>
      </c>
      <c r="C20" s="39" t="s">
        <v>254</v>
      </c>
      <c r="D20" s="106">
        <v>3000</v>
      </c>
      <c r="E20" s="54" t="s">
        <v>255</v>
      </c>
      <c r="F20" s="93" t="s">
        <v>256</v>
      </c>
      <c r="G20" s="128">
        <v>9700</v>
      </c>
    </row>
    <row r="21" spans="1:13" ht="18.75">
      <c r="A21" s="7">
        <v>18</v>
      </c>
      <c r="B21" s="1" t="s">
        <v>257</v>
      </c>
      <c r="C21" s="39" t="s">
        <v>258</v>
      </c>
      <c r="D21" s="106">
        <v>3000</v>
      </c>
      <c r="E21" s="54" t="s">
        <v>259</v>
      </c>
      <c r="F21" s="93" t="s">
        <v>260</v>
      </c>
      <c r="G21" s="128">
        <v>280</v>
      </c>
    </row>
    <row r="22" spans="1:13" ht="18.75">
      <c r="A22" s="7"/>
      <c r="B22" s="1"/>
      <c r="C22" s="39"/>
      <c r="D22" s="106"/>
      <c r="E22" s="54" t="s">
        <v>247</v>
      </c>
      <c r="F22" s="93" t="s">
        <v>261</v>
      </c>
      <c r="G22" s="128">
        <v>6521</v>
      </c>
    </row>
    <row r="23" spans="1:13" ht="18.75">
      <c r="A23" s="7"/>
      <c r="B23" s="1"/>
      <c r="C23" s="39"/>
      <c r="D23" s="2"/>
      <c r="E23" s="54" t="s">
        <v>262</v>
      </c>
      <c r="F23" s="93" t="s">
        <v>263</v>
      </c>
      <c r="G23" s="100">
        <v>69</v>
      </c>
    </row>
    <row r="24" spans="1:13" ht="18.75">
      <c r="A24" s="7"/>
      <c r="B24" s="1"/>
      <c r="C24" s="39"/>
      <c r="D24" s="2"/>
      <c r="E24" s="54" t="s">
        <v>264</v>
      </c>
      <c r="F24" s="93" t="s">
        <v>265</v>
      </c>
      <c r="G24" s="100">
        <v>7600</v>
      </c>
    </row>
    <row r="25" spans="1:13" ht="18.75">
      <c r="A25" s="7"/>
      <c r="B25" s="1"/>
      <c r="C25" s="39"/>
      <c r="D25" s="2"/>
      <c r="E25" s="54" t="s">
        <v>266</v>
      </c>
      <c r="F25" s="93" t="s">
        <v>267</v>
      </c>
      <c r="G25" s="100">
        <v>300</v>
      </c>
    </row>
    <row r="26" spans="1:13" ht="18.75">
      <c r="A26" s="7"/>
      <c r="B26" s="1"/>
      <c r="C26" s="39"/>
      <c r="D26" s="2"/>
      <c r="E26" s="54" t="s">
        <v>268</v>
      </c>
      <c r="F26" s="93" t="s">
        <v>186</v>
      </c>
      <c r="G26" s="100">
        <v>50</v>
      </c>
    </row>
    <row r="27" spans="1:13" ht="18.75">
      <c r="A27" s="7"/>
      <c r="B27" s="1"/>
      <c r="C27" s="39"/>
      <c r="D27" s="2"/>
      <c r="E27" s="54" t="s">
        <v>268</v>
      </c>
      <c r="F27" s="93" t="s">
        <v>186</v>
      </c>
      <c r="G27" s="100">
        <v>30</v>
      </c>
    </row>
    <row r="28" spans="1:13" ht="18.75">
      <c r="A28" s="7"/>
      <c r="B28" s="1"/>
      <c r="C28" s="39"/>
      <c r="D28" s="2"/>
      <c r="E28" s="54" t="s">
        <v>268</v>
      </c>
      <c r="F28" s="93" t="s">
        <v>269</v>
      </c>
      <c r="G28" s="100">
        <v>320</v>
      </c>
    </row>
    <row r="29" spans="1:13" ht="18.75">
      <c r="A29" s="7"/>
      <c r="B29" s="1"/>
      <c r="C29" s="39"/>
      <c r="D29" s="2"/>
      <c r="E29" s="54" t="s">
        <v>268</v>
      </c>
      <c r="F29" s="93" t="s">
        <v>270</v>
      </c>
      <c r="G29" s="100">
        <v>185</v>
      </c>
    </row>
    <row r="30" spans="1:13" ht="19.5" thickBot="1">
      <c r="A30" s="7"/>
      <c r="B30" s="1"/>
      <c r="C30" s="39"/>
      <c r="D30" s="2"/>
      <c r="E30" s="54"/>
      <c r="F30" s="132"/>
      <c r="G30" s="133"/>
    </row>
    <row r="31" spans="1:13" ht="19.5" thickBot="1">
      <c r="A31" s="7"/>
      <c r="B31" s="1"/>
      <c r="C31" s="39"/>
      <c r="D31" s="2"/>
      <c r="E31" s="54"/>
      <c r="F31" s="58" t="s">
        <v>182</v>
      </c>
      <c r="G31" s="95">
        <f>SUM(G4:G30)</f>
        <v>28680</v>
      </c>
    </row>
    <row r="32" spans="1:13" ht="19.5" thickBot="1">
      <c r="A32" s="59"/>
      <c r="B32" s="60"/>
      <c r="C32" s="40"/>
      <c r="D32" s="18"/>
      <c r="E32" s="57"/>
      <c r="F32" s="61" t="s">
        <v>183</v>
      </c>
      <c r="G32" s="96">
        <f>D33-G31</f>
        <v>7361</v>
      </c>
    </row>
    <row r="33" spans="1:7" ht="19.5" thickBot="1">
      <c r="A33" s="62"/>
      <c r="B33" s="209" t="s">
        <v>158</v>
      </c>
      <c r="C33" s="210"/>
      <c r="D33" s="125">
        <f>SUM(D4:D32)</f>
        <v>36041</v>
      </c>
      <c r="E33" s="209" t="s">
        <v>158</v>
      </c>
      <c r="F33" s="210"/>
      <c r="G33" s="97">
        <f>SUM(G31:G32)</f>
        <v>36041</v>
      </c>
    </row>
    <row r="36" spans="1:7">
      <c r="F36" s="102"/>
    </row>
    <row r="37" spans="1:7">
      <c r="F37" s="102"/>
    </row>
    <row r="38" spans="1:7">
      <c r="F38" s="102"/>
    </row>
    <row r="39" spans="1:7">
      <c r="D39" s="102"/>
      <c r="F39" s="102"/>
    </row>
    <row r="40" spans="1:7">
      <c r="D40" s="102"/>
    </row>
    <row r="41" spans="1:7">
      <c r="D41" s="102"/>
    </row>
    <row r="42" spans="1:7">
      <c r="C42" s="103"/>
      <c r="D42" s="101"/>
    </row>
  </sheetData>
  <mergeCells count="5">
    <mergeCell ref="A1:G1"/>
    <mergeCell ref="B2:D2"/>
    <mergeCell ref="E2:G2"/>
    <mergeCell ref="B33:C33"/>
    <mergeCell ref="E33:F33"/>
  </mergeCells>
  <phoneticPr fontId="28" type="noConversion"/>
  <pageMargins left="0.7" right="0.7" top="0.75" bottom="0.75" header="0.3" footer="0.3"/>
  <pageSetup paperSize="9" scale="79" orientation="landscape" r:id="rId1"/>
  <headerFooter>
    <oddFooter>&amp;L&amp;16MD MAMUN&amp;C&amp;16ABDUS SALAM&amp;R&amp;16MD JAHANGIR ALAM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83D4-D1F7-473B-97A0-976101DEF3C3}">
  <sheetPr>
    <pageSetUpPr fitToPage="1"/>
  </sheetPr>
  <dimension ref="A1:G51"/>
  <sheetViews>
    <sheetView zoomScaleNormal="100" workbookViewId="0">
      <pane ySplit="3" topLeftCell="A18" activePane="bottomLeft" state="frozen"/>
      <selection pane="bottomLeft" activeCell="B24" sqref="B24:D24"/>
    </sheetView>
  </sheetViews>
  <sheetFormatPr defaultRowHeight="15"/>
  <cols>
    <col min="1" max="1" width="4.42578125" bestFit="1" customWidth="1"/>
    <col min="2" max="2" width="11.7109375" bestFit="1" customWidth="1"/>
    <col min="3" max="3" width="61.140625" bestFit="1" customWidth="1"/>
    <col min="4" max="4" width="11.5703125" bestFit="1" customWidth="1"/>
    <col min="5" max="5" width="12.7109375" bestFit="1" customWidth="1"/>
    <col min="6" max="6" width="66" bestFit="1" customWidth="1"/>
    <col min="7" max="7" width="13" bestFit="1" customWidth="1"/>
  </cols>
  <sheetData>
    <row r="1" spans="1:7" ht="23.25" thickBot="1">
      <c r="A1" s="200" t="s">
        <v>271</v>
      </c>
      <c r="B1" s="201"/>
      <c r="C1" s="201"/>
      <c r="D1" s="201"/>
      <c r="E1" s="201"/>
      <c r="F1" s="201"/>
      <c r="G1" s="202"/>
    </row>
    <row r="2" spans="1:7" ht="21" thickBot="1">
      <c r="A2" s="6" t="s">
        <v>106</v>
      </c>
      <c r="B2" s="203" t="s">
        <v>160</v>
      </c>
      <c r="C2" s="204"/>
      <c r="D2" s="205"/>
      <c r="E2" s="206" t="s">
        <v>161</v>
      </c>
      <c r="F2" s="207"/>
      <c r="G2" s="208"/>
    </row>
    <row r="3" spans="1:7" ht="19.5" thickBot="1">
      <c r="A3" s="6"/>
      <c r="B3" s="11" t="s">
        <v>1</v>
      </c>
      <c r="C3" s="11" t="s">
        <v>2</v>
      </c>
      <c r="D3" s="12" t="s">
        <v>162</v>
      </c>
      <c r="E3" s="13" t="s">
        <v>1</v>
      </c>
      <c r="F3" s="14" t="s">
        <v>2</v>
      </c>
      <c r="G3" s="12" t="s">
        <v>162</v>
      </c>
    </row>
    <row r="4" spans="1:7" ht="18.75">
      <c r="A4" s="7">
        <v>1</v>
      </c>
      <c r="B4" s="64">
        <v>46029</v>
      </c>
      <c r="C4" s="38" t="s">
        <v>185</v>
      </c>
      <c r="D4" s="99">
        <f>'JUNE 2026'!G32</f>
        <v>7361</v>
      </c>
      <c r="E4" s="65">
        <v>46029</v>
      </c>
      <c r="F4" s="174" t="s">
        <v>272</v>
      </c>
      <c r="G4" s="175">
        <v>3765</v>
      </c>
    </row>
    <row r="5" spans="1:7" ht="18.75">
      <c r="A5" s="7">
        <v>2</v>
      </c>
      <c r="B5" s="56">
        <v>46029</v>
      </c>
      <c r="C5" s="39" t="s">
        <v>273</v>
      </c>
      <c r="D5" s="131">
        <v>3000</v>
      </c>
      <c r="E5" s="54">
        <v>46029</v>
      </c>
      <c r="F5" s="93" t="s">
        <v>274</v>
      </c>
      <c r="G5" s="100">
        <v>577</v>
      </c>
    </row>
    <row r="6" spans="1:7" ht="18.75">
      <c r="A6" s="7">
        <v>3</v>
      </c>
      <c r="B6" s="56">
        <v>46029</v>
      </c>
      <c r="C6" s="39" t="s">
        <v>275</v>
      </c>
      <c r="D6" s="131">
        <v>3000</v>
      </c>
      <c r="E6" s="54">
        <v>46029</v>
      </c>
      <c r="F6" s="93" t="s">
        <v>276</v>
      </c>
      <c r="G6" s="100">
        <v>9100</v>
      </c>
    </row>
    <row r="7" spans="1:7" ht="18.75">
      <c r="A7" s="7">
        <v>4</v>
      </c>
      <c r="B7" s="56">
        <v>46029</v>
      </c>
      <c r="C7" s="39" t="s">
        <v>277</v>
      </c>
      <c r="D7" s="131">
        <v>3000</v>
      </c>
      <c r="E7" s="54">
        <v>46060</v>
      </c>
      <c r="F7" s="93" t="s">
        <v>278</v>
      </c>
      <c r="G7" s="100">
        <v>65</v>
      </c>
    </row>
    <row r="8" spans="1:7" ht="18.75">
      <c r="A8" s="7">
        <v>5</v>
      </c>
      <c r="B8" s="56">
        <v>46029</v>
      </c>
      <c r="C8" s="39" t="s">
        <v>279</v>
      </c>
      <c r="D8" s="131">
        <v>3000</v>
      </c>
      <c r="E8" s="54">
        <v>46060</v>
      </c>
      <c r="F8" s="93" t="s">
        <v>186</v>
      </c>
      <c r="G8" s="100">
        <v>30</v>
      </c>
    </row>
    <row r="9" spans="1:7" ht="18.75">
      <c r="A9" s="7">
        <v>6</v>
      </c>
      <c r="B9" s="56">
        <v>46029</v>
      </c>
      <c r="C9" s="39" t="s">
        <v>280</v>
      </c>
      <c r="D9" s="131">
        <v>6000</v>
      </c>
      <c r="E9" s="54">
        <v>46119</v>
      </c>
      <c r="F9" s="93" t="s">
        <v>281</v>
      </c>
      <c r="G9" s="100">
        <v>160</v>
      </c>
    </row>
    <row r="10" spans="1:7" ht="18.75">
      <c r="A10" s="7">
        <v>7</v>
      </c>
      <c r="B10" s="56">
        <v>46029</v>
      </c>
      <c r="C10" s="39" t="s">
        <v>282</v>
      </c>
      <c r="D10" s="131">
        <v>6000</v>
      </c>
      <c r="E10" s="54">
        <v>46149</v>
      </c>
      <c r="F10" s="93" t="s">
        <v>283</v>
      </c>
      <c r="G10" s="100">
        <v>47</v>
      </c>
    </row>
    <row r="11" spans="1:7" ht="18.75">
      <c r="A11" s="7">
        <v>8</v>
      </c>
      <c r="B11" s="56">
        <v>46029</v>
      </c>
      <c r="C11" s="39" t="s">
        <v>284</v>
      </c>
      <c r="D11" s="131">
        <v>3000</v>
      </c>
      <c r="E11" s="54">
        <v>46149</v>
      </c>
      <c r="F11" s="93" t="s">
        <v>186</v>
      </c>
      <c r="G11" s="100">
        <v>55</v>
      </c>
    </row>
    <row r="12" spans="1:7" ht="18.75">
      <c r="A12" s="7">
        <v>9</v>
      </c>
      <c r="B12" s="56">
        <v>46029</v>
      </c>
      <c r="C12" s="39" t="s">
        <v>101</v>
      </c>
      <c r="D12" s="131">
        <v>2000</v>
      </c>
      <c r="E12" s="54">
        <v>46180</v>
      </c>
      <c r="F12" s="93" t="s">
        <v>285</v>
      </c>
      <c r="G12" s="100">
        <v>280</v>
      </c>
    </row>
    <row r="13" spans="1:7" ht="18.75">
      <c r="A13" s="7">
        <v>10</v>
      </c>
      <c r="B13" s="56">
        <v>46029</v>
      </c>
      <c r="C13" s="38" t="s">
        <v>286</v>
      </c>
      <c r="D13" s="99">
        <v>500</v>
      </c>
      <c r="E13" s="54">
        <v>46210</v>
      </c>
      <c r="F13" s="93" t="s">
        <v>287</v>
      </c>
      <c r="G13" s="100">
        <v>23</v>
      </c>
    </row>
    <row r="14" spans="1:7" ht="18.75">
      <c r="A14" s="7">
        <v>11</v>
      </c>
      <c r="B14" s="56">
        <v>46149</v>
      </c>
      <c r="C14" s="39" t="s">
        <v>288</v>
      </c>
      <c r="D14" s="99">
        <v>500</v>
      </c>
      <c r="E14" s="54">
        <v>45876</v>
      </c>
      <c r="F14" s="93" t="s">
        <v>289</v>
      </c>
      <c r="G14" s="100">
        <v>2172</v>
      </c>
    </row>
    <row r="15" spans="1:7" ht="18.75">
      <c r="A15" s="7">
        <v>12</v>
      </c>
      <c r="B15" s="56">
        <v>46211</v>
      </c>
      <c r="C15" s="39" t="s">
        <v>290</v>
      </c>
      <c r="D15" s="99">
        <v>1100</v>
      </c>
      <c r="E15" s="54">
        <v>46302</v>
      </c>
      <c r="F15" s="93" t="s">
        <v>269</v>
      </c>
      <c r="G15" s="100">
        <v>410</v>
      </c>
    </row>
    <row r="16" spans="1:7" ht="18.75">
      <c r="A16" s="7">
        <v>13</v>
      </c>
      <c r="B16" s="56">
        <v>46241</v>
      </c>
      <c r="C16" s="39" t="s">
        <v>291</v>
      </c>
      <c r="D16" s="99">
        <v>500</v>
      </c>
      <c r="E16" s="54">
        <v>46302</v>
      </c>
      <c r="F16" s="93" t="s">
        <v>186</v>
      </c>
      <c r="G16" s="100">
        <v>20</v>
      </c>
    </row>
    <row r="17" spans="1:7" ht="18.75">
      <c r="A17" s="7">
        <v>14</v>
      </c>
      <c r="B17" s="56">
        <v>46302</v>
      </c>
      <c r="C17" s="39" t="s">
        <v>292</v>
      </c>
      <c r="D17" s="99">
        <v>1000</v>
      </c>
      <c r="E17" s="54" t="s">
        <v>293</v>
      </c>
      <c r="F17" s="154" t="s">
        <v>294</v>
      </c>
      <c r="G17" s="106">
        <v>100</v>
      </c>
    </row>
    <row r="18" spans="1:7" ht="18.75">
      <c r="A18" s="7">
        <v>15</v>
      </c>
      <c r="B18" s="56">
        <v>46302</v>
      </c>
      <c r="C18" s="39" t="s">
        <v>295</v>
      </c>
      <c r="D18" s="99">
        <v>80</v>
      </c>
      <c r="E18" s="54" t="s">
        <v>296</v>
      </c>
      <c r="F18" s="93" t="s">
        <v>297</v>
      </c>
      <c r="G18" s="100">
        <v>1206</v>
      </c>
    </row>
    <row r="19" spans="1:7" ht="18.75">
      <c r="A19" s="7">
        <v>16</v>
      </c>
      <c r="B19" s="56">
        <v>46363</v>
      </c>
      <c r="C19" s="39" t="s">
        <v>298</v>
      </c>
      <c r="D19" s="99">
        <v>1050</v>
      </c>
      <c r="E19" s="54" t="s">
        <v>296</v>
      </c>
      <c r="F19" s="93" t="s">
        <v>299</v>
      </c>
      <c r="G19" s="100">
        <v>405</v>
      </c>
    </row>
    <row r="20" spans="1:7" ht="18.75">
      <c r="A20" s="7">
        <v>17</v>
      </c>
      <c r="B20" s="1" t="s">
        <v>293</v>
      </c>
      <c r="C20" s="39" t="s">
        <v>300</v>
      </c>
      <c r="D20" s="99">
        <v>1200</v>
      </c>
      <c r="E20" s="54" t="s">
        <v>13</v>
      </c>
      <c r="F20" s="93" t="s">
        <v>301</v>
      </c>
      <c r="G20" s="100">
        <v>9600</v>
      </c>
    </row>
    <row r="21" spans="1:7" ht="18.75">
      <c r="A21" s="7">
        <v>18</v>
      </c>
      <c r="B21" s="1" t="s">
        <v>296</v>
      </c>
      <c r="C21" s="39" t="s">
        <v>302</v>
      </c>
      <c r="D21" s="131">
        <v>1250</v>
      </c>
      <c r="E21" s="54" t="s">
        <v>13</v>
      </c>
      <c r="F21" s="93" t="s">
        <v>186</v>
      </c>
      <c r="G21" s="100">
        <v>80</v>
      </c>
    </row>
    <row r="22" spans="1:7" ht="18.75">
      <c r="A22" s="7">
        <v>19</v>
      </c>
      <c r="B22" s="1" t="s">
        <v>303</v>
      </c>
      <c r="C22" s="39" t="s">
        <v>304</v>
      </c>
      <c r="D22" s="99">
        <v>1250</v>
      </c>
      <c r="E22" s="54" t="s">
        <v>305</v>
      </c>
      <c r="F22" s="93" t="s">
        <v>306</v>
      </c>
      <c r="G22" s="100">
        <v>1775</v>
      </c>
    </row>
    <row r="23" spans="1:7" ht="18.75">
      <c r="A23" s="7">
        <v>20</v>
      </c>
      <c r="B23" s="1" t="s">
        <v>307</v>
      </c>
      <c r="C23" s="39" t="s">
        <v>308</v>
      </c>
      <c r="D23" s="99">
        <v>1200</v>
      </c>
      <c r="E23" s="54" t="s">
        <v>309</v>
      </c>
      <c r="F23" s="93" t="s">
        <v>186</v>
      </c>
      <c r="G23" s="100">
        <v>65</v>
      </c>
    </row>
    <row r="24" spans="1:7" ht="18.75">
      <c r="A24" s="7"/>
      <c r="B24" s="1" t="s">
        <v>310</v>
      </c>
      <c r="C24" s="39" t="s">
        <v>201</v>
      </c>
      <c r="D24" s="99">
        <v>1000</v>
      </c>
      <c r="E24" s="54" t="s">
        <v>309</v>
      </c>
      <c r="F24" s="93" t="s">
        <v>311</v>
      </c>
      <c r="G24" s="100">
        <v>1600</v>
      </c>
    </row>
    <row r="25" spans="1:7" ht="18.75">
      <c r="A25" s="7"/>
      <c r="B25" s="1"/>
      <c r="C25" s="39"/>
      <c r="D25" s="99"/>
      <c r="E25" s="54" t="s">
        <v>309</v>
      </c>
      <c r="F25" s="93" t="s">
        <v>312</v>
      </c>
      <c r="G25" s="100">
        <v>300</v>
      </c>
    </row>
    <row r="26" spans="1:7" ht="18.75">
      <c r="A26" s="7"/>
      <c r="B26" s="1"/>
      <c r="C26" s="39"/>
      <c r="D26" s="99"/>
      <c r="E26" s="54" t="s">
        <v>303</v>
      </c>
      <c r="F26" s="93" t="s">
        <v>186</v>
      </c>
      <c r="G26" s="100">
        <v>50</v>
      </c>
    </row>
    <row r="27" spans="1:7" ht="18.75">
      <c r="A27" s="7"/>
      <c r="B27" s="1"/>
      <c r="C27" s="39"/>
      <c r="D27" s="99"/>
      <c r="E27" s="54" t="s">
        <v>303</v>
      </c>
      <c r="F27" s="93" t="s">
        <v>313</v>
      </c>
      <c r="G27" s="100">
        <v>950</v>
      </c>
    </row>
    <row r="28" spans="1:7" ht="18.75">
      <c r="A28" s="7"/>
      <c r="B28" s="1"/>
      <c r="C28" s="39"/>
      <c r="D28" s="99"/>
      <c r="E28" s="54" t="s">
        <v>314</v>
      </c>
      <c r="F28" s="93" t="s">
        <v>315</v>
      </c>
      <c r="G28" s="100">
        <v>200</v>
      </c>
    </row>
    <row r="29" spans="1:7" ht="18.75">
      <c r="A29" s="7"/>
      <c r="B29" s="1"/>
      <c r="C29" s="39"/>
      <c r="D29" s="99"/>
      <c r="E29" s="54" t="s">
        <v>316</v>
      </c>
      <c r="F29" s="93" t="s">
        <v>317</v>
      </c>
      <c r="G29" s="100">
        <v>100</v>
      </c>
    </row>
    <row r="30" spans="1:7" ht="18.75">
      <c r="A30" s="7"/>
      <c r="B30" s="1"/>
      <c r="C30" s="39"/>
      <c r="D30" s="99"/>
      <c r="E30" s="54" t="s">
        <v>318</v>
      </c>
      <c r="F30" s="93" t="s">
        <v>319</v>
      </c>
      <c r="G30" s="100">
        <v>250</v>
      </c>
    </row>
    <row r="31" spans="1:7" ht="18.75">
      <c r="A31" s="7"/>
      <c r="B31" s="1"/>
      <c r="C31" s="39"/>
      <c r="D31" s="99"/>
      <c r="E31" s="54" t="s">
        <v>318</v>
      </c>
      <c r="F31" s="93" t="s">
        <v>320</v>
      </c>
      <c r="G31" s="100">
        <v>300</v>
      </c>
    </row>
    <row r="32" spans="1:7" ht="18.75">
      <c r="A32" s="7"/>
      <c r="B32" s="1"/>
      <c r="C32" s="39"/>
      <c r="D32" s="99"/>
      <c r="E32" s="54" t="s">
        <v>318</v>
      </c>
      <c r="F32" s="93" t="s">
        <v>321</v>
      </c>
      <c r="G32" s="100">
        <v>300</v>
      </c>
    </row>
    <row r="33" spans="1:7" ht="18.75">
      <c r="A33" s="7"/>
      <c r="B33" s="1"/>
      <c r="C33" s="39"/>
      <c r="D33" s="99"/>
      <c r="E33" s="54" t="s">
        <v>310</v>
      </c>
      <c r="F33" s="93" t="s">
        <v>322</v>
      </c>
      <c r="G33" s="100">
        <v>1954</v>
      </c>
    </row>
    <row r="34" spans="1:7" ht="18.75">
      <c r="A34" s="7"/>
      <c r="B34" s="1"/>
      <c r="C34" s="39"/>
      <c r="D34" s="99"/>
      <c r="E34" s="54" t="s">
        <v>310</v>
      </c>
      <c r="F34" s="93" t="s">
        <v>269</v>
      </c>
      <c r="G34" s="100">
        <v>883</v>
      </c>
    </row>
    <row r="35" spans="1:7" ht="18.75">
      <c r="A35" s="7"/>
      <c r="B35" s="1"/>
      <c r="C35" s="39"/>
      <c r="D35" s="99"/>
      <c r="E35" s="198" t="s">
        <v>310</v>
      </c>
      <c r="F35" s="199" t="s">
        <v>323</v>
      </c>
      <c r="G35" s="128">
        <v>2513</v>
      </c>
    </row>
    <row r="36" spans="1:7" ht="18.75">
      <c r="A36" s="7"/>
      <c r="B36" s="1"/>
      <c r="C36" s="39"/>
      <c r="D36" s="99"/>
      <c r="E36" s="198">
        <v>46241</v>
      </c>
      <c r="F36" s="199" t="s">
        <v>324</v>
      </c>
      <c r="G36" s="128">
        <v>226</v>
      </c>
    </row>
    <row r="37" spans="1:7" ht="18.75">
      <c r="A37" s="7"/>
      <c r="B37" s="1"/>
      <c r="C37" s="39"/>
      <c r="D37" s="99"/>
      <c r="E37" s="54" t="s">
        <v>325</v>
      </c>
      <c r="F37" s="93" t="s">
        <v>186</v>
      </c>
      <c r="G37" s="100">
        <v>20</v>
      </c>
    </row>
    <row r="38" spans="1:7" ht="18.75">
      <c r="A38" s="7"/>
      <c r="B38" s="1"/>
      <c r="C38" s="39"/>
      <c r="D38" s="99"/>
      <c r="E38" s="54" t="s">
        <v>325</v>
      </c>
      <c r="F38" s="93" t="s">
        <v>326</v>
      </c>
      <c r="G38" s="100">
        <v>50</v>
      </c>
    </row>
    <row r="39" spans="1:7" ht="19.5" thickBot="1">
      <c r="A39" s="7"/>
      <c r="B39" s="1"/>
      <c r="C39" s="39"/>
      <c r="D39" s="99"/>
      <c r="E39" s="54" t="s">
        <v>325</v>
      </c>
      <c r="F39" s="93" t="s">
        <v>327</v>
      </c>
      <c r="G39" s="128">
        <v>1140</v>
      </c>
    </row>
    <row r="40" spans="1:7" ht="19.5" thickBot="1">
      <c r="A40" s="7"/>
      <c r="B40" s="1"/>
      <c r="C40" s="39"/>
      <c r="D40" s="99"/>
      <c r="E40" s="54"/>
      <c r="F40" s="58" t="s">
        <v>182</v>
      </c>
      <c r="G40" s="95">
        <f>SUM(G4:G39)</f>
        <v>40771</v>
      </c>
    </row>
    <row r="41" spans="1:7" ht="19.5" thickBot="1">
      <c r="A41" s="59"/>
      <c r="B41" s="60"/>
      <c r="C41" s="40"/>
      <c r="D41" s="99"/>
      <c r="E41" s="57"/>
      <c r="F41" s="61" t="s">
        <v>183</v>
      </c>
      <c r="G41" s="96">
        <f>D42-G40</f>
        <v>6220</v>
      </c>
    </row>
    <row r="42" spans="1:7" ht="19.5" thickBot="1">
      <c r="A42" s="62"/>
      <c r="B42" s="209" t="s">
        <v>158</v>
      </c>
      <c r="C42" s="210"/>
      <c r="D42" s="125">
        <f>SUM(D4:D41)</f>
        <v>46991</v>
      </c>
      <c r="E42" s="209" t="s">
        <v>158</v>
      </c>
      <c r="F42" s="210"/>
      <c r="G42" s="97">
        <f>SUM(G40:G41)</f>
        <v>46991</v>
      </c>
    </row>
    <row r="45" spans="1:7">
      <c r="F45" s="102"/>
    </row>
    <row r="46" spans="1:7">
      <c r="F46" s="102"/>
    </row>
    <row r="47" spans="1:7">
      <c r="F47" s="102"/>
    </row>
    <row r="48" spans="1:7">
      <c r="D48" s="102"/>
      <c r="F48" s="102"/>
    </row>
    <row r="49" spans="3:4">
      <c r="D49" s="102"/>
    </row>
    <row r="50" spans="3:4">
      <c r="D50" s="102"/>
    </row>
    <row r="51" spans="3:4">
      <c r="C51" s="103"/>
      <c r="D51" s="101"/>
    </row>
  </sheetData>
  <mergeCells count="5">
    <mergeCell ref="A1:G1"/>
    <mergeCell ref="B2:D2"/>
    <mergeCell ref="E2:G2"/>
    <mergeCell ref="B42:C42"/>
    <mergeCell ref="E42:F42"/>
  </mergeCells>
  <pageMargins left="0.7" right="0.7" top="0.75" bottom="0.75" header="0.3" footer="0.3"/>
  <pageSetup paperSize="9" scale="63" orientation="landscape" r:id="rId1"/>
  <headerFooter>
    <oddFooter>&amp;L&amp;16MD MAMUN&amp;C&amp;16ABDUS SALAM&amp;R&amp;16MD JAHANGIR HOSSAIN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1A8C-EDC4-4877-BB32-7B7A5706FD3F}">
  <sheetPr>
    <pageSetUpPr fitToPage="1"/>
  </sheetPr>
  <dimension ref="A1:G28"/>
  <sheetViews>
    <sheetView tabSelected="1" zoomScaleNormal="100" workbookViewId="0">
      <pane ySplit="3" topLeftCell="A4" activePane="bottomLeft" state="frozen"/>
      <selection pane="bottomLeft" activeCell="G4" sqref="G4"/>
    </sheetView>
  </sheetViews>
  <sheetFormatPr defaultRowHeight="15"/>
  <cols>
    <col min="1" max="1" width="4.42578125" bestFit="1" customWidth="1"/>
    <col min="2" max="2" width="11.7109375" bestFit="1" customWidth="1"/>
    <col min="3" max="3" width="61.140625" bestFit="1" customWidth="1"/>
    <col min="4" max="4" width="11.5703125" bestFit="1" customWidth="1"/>
    <col min="5" max="5" width="12.7109375" bestFit="1" customWidth="1"/>
    <col min="6" max="6" width="66" bestFit="1" customWidth="1"/>
    <col min="7" max="7" width="13" bestFit="1" customWidth="1"/>
  </cols>
  <sheetData>
    <row r="1" spans="1:7" ht="23.25" thickBot="1">
      <c r="A1" s="200" t="s">
        <v>328</v>
      </c>
      <c r="B1" s="201"/>
      <c r="C1" s="201"/>
      <c r="D1" s="201"/>
      <c r="E1" s="201"/>
      <c r="F1" s="201"/>
      <c r="G1" s="202"/>
    </row>
    <row r="2" spans="1:7" ht="21" thickBot="1">
      <c r="A2" s="6" t="s">
        <v>106</v>
      </c>
      <c r="B2" s="203" t="s">
        <v>160</v>
      </c>
      <c r="C2" s="204"/>
      <c r="D2" s="205"/>
      <c r="E2" s="206" t="s">
        <v>161</v>
      </c>
      <c r="F2" s="207"/>
      <c r="G2" s="208"/>
    </row>
    <row r="3" spans="1:7" ht="19.5" thickBot="1">
      <c r="A3" s="6"/>
      <c r="B3" s="11" t="s">
        <v>1</v>
      </c>
      <c r="C3" s="11" t="s">
        <v>2</v>
      </c>
      <c r="D3" s="12" t="s">
        <v>162</v>
      </c>
      <c r="E3" s="13" t="s">
        <v>1</v>
      </c>
      <c r="F3" s="14" t="s">
        <v>2</v>
      </c>
      <c r="G3" s="12" t="s">
        <v>162</v>
      </c>
    </row>
    <row r="4" spans="1:7" ht="18.75">
      <c r="A4" s="7">
        <v>1</v>
      </c>
      <c r="B4" s="64">
        <v>46030</v>
      </c>
      <c r="C4" s="38" t="s">
        <v>185</v>
      </c>
      <c r="D4" s="99">
        <f>'JULY 2026'!G41</f>
        <v>6220</v>
      </c>
      <c r="E4" s="65">
        <v>46030</v>
      </c>
      <c r="F4" s="174" t="s">
        <v>329</v>
      </c>
      <c r="G4" s="175"/>
    </row>
    <row r="5" spans="1:7" ht="18.75">
      <c r="A5" s="7">
        <v>2</v>
      </c>
      <c r="B5" s="56"/>
      <c r="C5" s="39"/>
      <c r="D5" s="131"/>
      <c r="E5" s="54"/>
      <c r="F5" s="93"/>
      <c r="G5" s="100"/>
    </row>
    <row r="6" spans="1:7" ht="18.75">
      <c r="A6" s="7">
        <v>19</v>
      </c>
      <c r="B6" s="1"/>
      <c r="C6" s="39"/>
      <c r="D6" s="99"/>
      <c r="E6" s="54"/>
      <c r="F6" s="93"/>
      <c r="G6" s="100"/>
    </row>
    <row r="7" spans="1:7" ht="18.75">
      <c r="A7" s="7">
        <v>20</v>
      </c>
      <c r="B7" s="1"/>
      <c r="C7" s="39"/>
      <c r="D7" s="99"/>
      <c r="E7" s="54"/>
      <c r="F7" s="93"/>
      <c r="G7" s="100"/>
    </row>
    <row r="8" spans="1:7" ht="18.75">
      <c r="A8" s="7"/>
      <c r="B8" s="1"/>
      <c r="C8" s="39"/>
      <c r="D8" s="99"/>
      <c r="E8" s="54"/>
      <c r="F8" s="93"/>
      <c r="G8" s="100"/>
    </row>
    <row r="9" spans="1:7" ht="18.75">
      <c r="A9" s="7"/>
      <c r="B9" s="1"/>
      <c r="C9" s="39"/>
      <c r="D9" s="99"/>
      <c r="E9" s="54"/>
      <c r="F9" s="93"/>
      <c r="G9" s="100"/>
    </row>
    <row r="10" spans="1:7" ht="18.75">
      <c r="A10" s="7"/>
      <c r="B10" s="1"/>
      <c r="C10" s="39"/>
      <c r="D10" s="99"/>
      <c r="E10" s="54"/>
      <c r="F10" s="93"/>
      <c r="G10" s="100"/>
    </row>
    <row r="11" spans="1:7" ht="18.75">
      <c r="A11" s="7"/>
      <c r="B11" s="1"/>
      <c r="C11" s="39"/>
      <c r="D11" s="99"/>
      <c r="E11" s="54"/>
      <c r="F11" s="93"/>
      <c r="G11" s="100"/>
    </row>
    <row r="12" spans="1:7" ht="18.75">
      <c r="A12" s="7"/>
      <c r="B12" s="1"/>
      <c r="C12" s="39"/>
      <c r="D12" s="99"/>
      <c r="E12" s="54"/>
      <c r="F12" s="93"/>
      <c r="G12" s="100"/>
    </row>
    <row r="13" spans="1:7" ht="18.75">
      <c r="A13" s="7"/>
      <c r="B13" s="1"/>
      <c r="C13" s="39"/>
      <c r="D13" s="99"/>
      <c r="E13" s="54"/>
      <c r="F13" s="93"/>
      <c r="G13" s="100"/>
    </row>
    <row r="14" spans="1:7" ht="18.75">
      <c r="A14" s="7"/>
      <c r="B14" s="1"/>
      <c r="C14" s="39"/>
      <c r="D14" s="99"/>
      <c r="E14" s="54"/>
      <c r="F14" s="93"/>
      <c r="G14" s="100"/>
    </row>
    <row r="15" spans="1:7" ht="18.75">
      <c r="A15" s="7"/>
      <c r="B15" s="1"/>
      <c r="C15" s="39"/>
      <c r="D15" s="99"/>
      <c r="E15" s="54"/>
      <c r="F15" s="93"/>
      <c r="G15" s="100"/>
    </row>
    <row r="16" spans="1:7" ht="19.5" thickBot="1">
      <c r="A16" s="7"/>
      <c r="B16" s="1"/>
      <c r="C16" s="39"/>
      <c r="D16" s="99"/>
      <c r="E16" s="54"/>
      <c r="F16" s="93"/>
      <c r="G16" s="100"/>
    </row>
    <row r="17" spans="1:7" ht="19.5" thickBot="1">
      <c r="A17" s="7"/>
      <c r="B17" s="1"/>
      <c r="C17" s="39"/>
      <c r="D17" s="99"/>
      <c r="E17" s="54"/>
      <c r="F17" s="58" t="s">
        <v>182</v>
      </c>
      <c r="G17" s="95">
        <f>SUM(G4:G16)</f>
        <v>0</v>
      </c>
    </row>
    <row r="18" spans="1:7" ht="19.5" thickBot="1">
      <c r="A18" s="59"/>
      <c r="B18" s="60"/>
      <c r="C18" s="40"/>
      <c r="D18" s="99"/>
      <c r="E18" s="57"/>
      <c r="F18" s="61" t="s">
        <v>183</v>
      </c>
      <c r="G18" s="96">
        <f>D19-G17</f>
        <v>6220</v>
      </c>
    </row>
    <row r="19" spans="1:7" ht="19.5" thickBot="1">
      <c r="A19" s="62"/>
      <c r="B19" s="209" t="s">
        <v>158</v>
      </c>
      <c r="C19" s="210"/>
      <c r="D19" s="125">
        <f>SUM(D4:D18)</f>
        <v>6220</v>
      </c>
      <c r="E19" s="209" t="s">
        <v>158</v>
      </c>
      <c r="F19" s="210"/>
      <c r="G19" s="97">
        <f>SUM(G17:G18)</f>
        <v>6220</v>
      </c>
    </row>
    <row r="22" spans="1:7">
      <c r="F22" s="102"/>
    </row>
    <row r="23" spans="1:7">
      <c r="F23" s="102"/>
    </row>
    <row r="24" spans="1:7">
      <c r="F24" s="102"/>
    </row>
    <row r="25" spans="1:7">
      <c r="D25" s="102"/>
      <c r="F25" s="102"/>
    </row>
    <row r="26" spans="1:7">
      <c r="D26" s="102"/>
    </row>
    <row r="27" spans="1:7">
      <c r="D27" s="102"/>
    </row>
    <row r="28" spans="1:7">
      <c r="C28" s="103"/>
      <c r="D28" s="101"/>
    </row>
  </sheetData>
  <mergeCells count="5">
    <mergeCell ref="A1:G1"/>
    <mergeCell ref="B2:D2"/>
    <mergeCell ref="E2:G2"/>
    <mergeCell ref="B19:C19"/>
    <mergeCell ref="E19:F19"/>
  </mergeCells>
  <pageMargins left="0.7" right="0.7" top="0.75" bottom="0.75" header="0.3" footer="0.3"/>
  <pageSetup paperSize="9" scale="72" orientation="landscape" r:id="rId1"/>
  <headerFooter>
    <oddFooter>&amp;L&amp;16MD MAMUN&amp;C&amp;16ABDUS SALAM&amp;R&amp;16MD JAHANGIR HOSSAIN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01CE-E26B-4943-92E2-9118CF07326B}">
  <dimension ref="A1:D33"/>
  <sheetViews>
    <sheetView workbookViewId="0">
      <selection activeCell="C29" sqref="C29"/>
    </sheetView>
  </sheetViews>
  <sheetFormatPr defaultRowHeight="15"/>
  <cols>
    <col min="1" max="1" width="3.28515625" bestFit="1" customWidth="1"/>
    <col min="2" max="2" width="32" bestFit="1" customWidth="1"/>
    <col min="3" max="3" width="14.140625" customWidth="1"/>
    <col min="4" max="4" width="16.28515625" customWidth="1"/>
  </cols>
  <sheetData>
    <row r="1" spans="1:4" ht="27" thickBot="1">
      <c r="A1" s="235" t="s">
        <v>330</v>
      </c>
      <c r="B1" s="236"/>
      <c r="C1" s="236"/>
      <c r="D1" s="237"/>
    </row>
    <row r="2" spans="1:4" ht="18.75">
      <c r="A2" s="184" t="s">
        <v>106</v>
      </c>
      <c r="B2" s="183" t="s">
        <v>331</v>
      </c>
      <c r="C2" s="181" t="s">
        <v>84</v>
      </c>
      <c r="D2" s="182" t="s">
        <v>332</v>
      </c>
    </row>
    <row r="3" spans="1:4" ht="18.75">
      <c r="A3" s="185">
        <v>1</v>
      </c>
      <c r="B3" s="42" t="s">
        <v>163</v>
      </c>
      <c r="C3" s="177">
        <v>2021</v>
      </c>
      <c r="D3" s="176">
        <v>23700</v>
      </c>
    </row>
    <row r="4" spans="1:4" ht="18.75">
      <c r="A4" s="185">
        <v>2</v>
      </c>
      <c r="B4" s="42" t="s">
        <v>333</v>
      </c>
      <c r="C4" s="177">
        <v>2019</v>
      </c>
      <c r="D4" s="176">
        <v>15700</v>
      </c>
    </row>
    <row r="5" spans="1:4" ht="18.75">
      <c r="A5" s="185">
        <v>3</v>
      </c>
      <c r="B5" s="93" t="s">
        <v>334</v>
      </c>
      <c r="C5" s="177">
        <v>2017</v>
      </c>
      <c r="D5" s="128">
        <v>15500</v>
      </c>
    </row>
    <row r="6" spans="1:4" ht="18.75">
      <c r="A6" s="185">
        <v>4</v>
      </c>
      <c r="B6" s="93" t="s">
        <v>100</v>
      </c>
      <c r="C6" s="177">
        <v>2012</v>
      </c>
      <c r="D6" s="128">
        <v>10000</v>
      </c>
    </row>
    <row r="7" spans="1:4" ht="18.75">
      <c r="A7" s="185">
        <v>5</v>
      </c>
      <c r="B7" s="93" t="s">
        <v>200</v>
      </c>
      <c r="C7" s="177">
        <v>2017</v>
      </c>
      <c r="D7" s="128">
        <v>13200</v>
      </c>
    </row>
    <row r="8" spans="1:4" ht="18.75">
      <c r="A8" s="185">
        <v>6</v>
      </c>
      <c r="B8" s="93" t="s">
        <v>335</v>
      </c>
      <c r="C8" s="177">
        <v>2023</v>
      </c>
      <c r="D8" s="128">
        <v>13200</v>
      </c>
    </row>
    <row r="9" spans="1:4" ht="18.75">
      <c r="A9" s="185">
        <v>7</v>
      </c>
      <c r="B9" s="93" t="s">
        <v>336</v>
      </c>
      <c r="C9" s="177">
        <v>2014</v>
      </c>
      <c r="D9" s="128">
        <v>9700</v>
      </c>
    </row>
    <row r="10" spans="1:4" ht="18.75">
      <c r="A10" s="185">
        <v>8</v>
      </c>
      <c r="B10" s="93" t="s">
        <v>261</v>
      </c>
      <c r="C10" s="177">
        <v>2012</v>
      </c>
      <c r="D10" s="128">
        <v>6521</v>
      </c>
    </row>
    <row r="11" spans="1:4" ht="18.75">
      <c r="A11" s="185">
        <v>9</v>
      </c>
      <c r="B11" s="93" t="s">
        <v>265</v>
      </c>
      <c r="C11" s="177">
        <v>2015</v>
      </c>
      <c r="D11" s="100">
        <v>7600</v>
      </c>
    </row>
    <row r="12" spans="1:4" ht="18.75">
      <c r="A12" s="185">
        <v>10</v>
      </c>
      <c r="B12" s="93" t="s">
        <v>337</v>
      </c>
      <c r="C12" s="177">
        <v>2012</v>
      </c>
      <c r="D12" s="100">
        <v>9100</v>
      </c>
    </row>
    <row r="13" spans="1:4" ht="19.5" thickBot="1">
      <c r="A13" s="186">
        <v>11</v>
      </c>
      <c r="B13" s="94" t="s">
        <v>95</v>
      </c>
      <c r="C13" s="187">
        <v>2012</v>
      </c>
      <c r="D13" s="179">
        <v>9600</v>
      </c>
    </row>
    <row r="14" spans="1:4" ht="21.75" thickBot="1">
      <c r="A14" s="238" t="s">
        <v>158</v>
      </c>
      <c r="B14" s="239"/>
      <c r="C14" s="240"/>
      <c r="D14" s="180">
        <f>SUM(D3:D13)</f>
        <v>133821</v>
      </c>
    </row>
    <row r="17" spans="2:3">
      <c r="B17" t="s">
        <v>338</v>
      </c>
    </row>
    <row r="18" spans="2:3">
      <c r="B18" t="s">
        <v>339</v>
      </c>
      <c r="C18">
        <v>1554</v>
      </c>
    </row>
    <row r="19" spans="2:3">
      <c r="B19" t="s">
        <v>340</v>
      </c>
      <c r="C19">
        <v>3649</v>
      </c>
    </row>
    <row r="20" spans="2:3">
      <c r="B20" t="s">
        <v>341</v>
      </c>
      <c r="C20">
        <v>15120</v>
      </c>
    </row>
    <row r="21" spans="2:3" ht="18.75">
      <c r="B21" s="188" t="s">
        <v>182</v>
      </c>
      <c r="C21" s="188">
        <f>SUM(C18:C20)</f>
        <v>20323</v>
      </c>
    </row>
    <row r="28" spans="2:3">
      <c r="B28" t="s">
        <v>342</v>
      </c>
    </row>
    <row r="29" spans="2:3">
      <c r="B29" t="s">
        <v>343</v>
      </c>
      <c r="C29">
        <v>148000</v>
      </c>
    </row>
    <row r="30" spans="2:3">
      <c r="B30" t="s">
        <v>344</v>
      </c>
      <c r="C30">
        <v>2530</v>
      </c>
    </row>
    <row r="31" spans="2:3">
      <c r="B31" t="s">
        <v>345</v>
      </c>
      <c r="C31">
        <v>8430</v>
      </c>
    </row>
    <row r="32" spans="2:3">
      <c r="B32" t="s">
        <v>346</v>
      </c>
      <c r="C32">
        <v>10300</v>
      </c>
    </row>
    <row r="33" spans="2:3" ht="18.75">
      <c r="B33" s="188" t="s">
        <v>347</v>
      </c>
      <c r="C33" s="188">
        <f>SUM(C29:C32)</f>
        <v>169260</v>
      </c>
    </row>
  </sheetData>
  <mergeCells count="2">
    <mergeCell ref="A1:D1"/>
    <mergeCell ref="A14:C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2026-02-01T08:12:18Z</dcterms:created>
  <dcterms:modified xsi:type="dcterms:W3CDTF">2026-08-02T17:50:43Z</dcterms:modified>
  <cp:category/>
  <cp:contentStatus/>
</cp:coreProperties>
</file>